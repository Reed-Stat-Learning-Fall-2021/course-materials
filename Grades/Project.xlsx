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H:\My Drive\Teaching\Classes\Math 243\Fall 2021\course-materials\Grades\"/>
    </mc:Choice>
  </mc:AlternateContent>
  <xr:revisionPtr revIDLastSave="0" documentId="13_ncr:1_{E652D2EA-1CF4-4FF1-B786-90C622336193}" xr6:coauthVersionLast="47" xr6:coauthVersionMax="47" xr10:uidLastSave="{00000000-0000-0000-0000-000000000000}"/>
  <bookViews>
    <workbookView xWindow="5055" yWindow="270" windowWidth="23745" windowHeight="15330" xr2:uid="{E2B26994-3EE5-964D-9F2F-EA1665179E5C}"/>
  </bookViews>
  <sheets>
    <sheet name="Grades" sheetId="1" r:id="rId1"/>
    <sheet name="Group 1" sheetId="2" r:id="rId2"/>
    <sheet name="Group 2" sheetId="3" r:id="rId3"/>
    <sheet name="Group 3" sheetId="4" r:id="rId4"/>
    <sheet name="Group 4" sheetId="5" r:id="rId5"/>
    <sheet name="Group 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B29" i="6"/>
  <c r="B29" i="5"/>
  <c r="B29" i="4"/>
  <c r="C29" i="3"/>
  <c r="B29" i="3"/>
  <c r="B29" i="2"/>
  <c r="C29" i="6"/>
  <c r="C29" i="5"/>
  <c r="C29" i="4"/>
  <c r="C29" i="2"/>
  <c r="B8" i="5"/>
  <c r="B7" i="6"/>
  <c r="B7" i="5"/>
  <c r="B7" i="4"/>
  <c r="B7" i="3"/>
  <c r="B7" i="2"/>
  <c r="C7" i="6"/>
  <c r="C7" i="5"/>
  <c r="C7" i="4"/>
  <c r="B8" i="4" s="1"/>
  <c r="C7" i="3"/>
  <c r="C7" i="2"/>
  <c r="B8" i="6" l="1"/>
  <c r="B8" i="3"/>
  <c r="B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tc={F70C4CB5-59FC-4E4D-AE49-B470C211DA93}</author>
    <author>tc={458E7C6B-BA02-4EB9-9AFB-7267E7404AD9}</author>
    <author>tc={B5FD13DC-678D-412E-AA91-66D24C2FB034}</author>
    <author>tc={207BEBF0-4B00-43A2-8299-AD5C3151E6C4}</author>
    <author>tc={A7BCE1D0-2CAC-4BFC-A24D-41479BB77F34}</author>
  </authors>
  <commentList>
    <comment ref="B16" authorId="0" shapeId="0" xr:uid="{F70C4CB5-59FC-4E4D-AE49-B470C211DA93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 and concise abstract</t>
      </text>
    </comment>
    <comment ref="B17" authorId="1" shapeId="0" xr:uid="{458E7C6B-BA02-4EB9-9AFB-7267E7404AD9}">
      <text>
        <t>[Threaded comment]
Your version of Excel allows you to read this threaded comment; however, any edits to it will get removed if the file is opened in a newer version of Excel. Learn more: https://go.microsoft.com/fwlink/?linkid=870924
Comment:
    Introduction could be expanded with further details on the 10.101 funding model (in particular, details about how the model assigns funding)</t>
      </text>
    </comment>
    <comment ref="B18" authorId="2" shapeId="0" xr:uid="{B5FD13DC-678D-412E-AA91-66D24C2FB03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Great presentation of data</t>
      </text>
    </comment>
    <comment ref="B20" authorId="3" shapeId="0" xr:uid="{207BEBF0-4B00-43A2-8299-AD5C3151E6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Modeling implemented correctly; however, the methods for creating models are not appropriate for research question, and some interpretation of results are misleading or incorrect</t>
      </text>
    </comment>
    <comment ref="B21" authorId="4" shapeId="0" xr:uid="{A7BCE1D0-2CAC-4BFC-A24D-41479BB77F3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and analysis presented do not answer research question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tc={057BE4C7-D10E-4103-9D56-57CD921ECEBF}</author>
    <author>tc={C18074BC-8A8D-4E33-AE60-8C233E926ED2}</author>
    <author>tc={FAC3E211-398C-4714-90DB-C9F4CAEE9982}</author>
    <author>tc={5191CB95-AA85-424B-8224-C35B0ADEFA02}</author>
    <author>tc={63E7A437-938C-4574-BFF1-F3F4CFF0D60D}</author>
    <author>tc={06EF4C5E-C066-41F4-85A8-70D4F9B3A048}</author>
    <author>tc={A5DB622A-95CF-49E4-A53F-39329A4FD706}</author>
  </authors>
  <commentList>
    <comment ref="B16" authorId="0" shapeId="0" xr:uid="{057BE4C7-D10E-4103-9D56-57CD921ECEBF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 and concise abstract</t>
      </text>
    </comment>
    <comment ref="B17" authorId="1" shapeId="0" xr:uid="{C18074BC-8A8D-4E33-AE60-8C233E926ED2}">
      <text>
        <t>[Threaded comment]
Your version of Excel allows you to read this threaded comment; however, any edits to it will get removed if the file is opened in a newer version of Excel. Learn more: https://go.microsoft.com/fwlink/?linkid=870924
Comment:
    Strong introduction overall, but language could be more precise</t>
      </text>
    </comment>
    <comment ref="B18" authorId="2" shapeId="0" xr:uid="{FAC3E211-398C-4714-90DB-C9F4CAEE9982}">
      <text>
        <t>[Threaded comment]
Your version of Excel allows you to read this threaded comment; however, any edits to it will get removed if the file is opened in a newer version of Excel. Learn more: https://go.microsoft.com/fwlink/?linkid=870924
Comment:
    Impressive data wrangling; some further discussion on KNN imputation would be helpful</t>
      </text>
    </comment>
    <comment ref="B19" authorId="3" shapeId="0" xr:uid="{5191CB95-AA85-424B-8224-C35B0ADEFA02}">
      <text>
        <t>[Threaded comment]
Your version of Excel allows you to read this threaded comment; however, any edits to it will get removed if the file is opened in a newer version of Excel. Learn more: https://go.microsoft.com/fwlink/?linkid=870924
Comment:
    Great EDA overall. However, it would be helpful to have statistics on the overall marriage rates for survey respondents (along with number of NAs, if available)</t>
      </text>
    </comment>
    <comment ref="B20" authorId="4" shapeId="0" xr:uid="{63E7A437-938C-4574-BFF1-F3F4CFF0D60D}">
      <text>
        <t>[Threaded comment]
Your version of Excel allows you to read this threaded comment; however, any edits to it will get removed if the file is opened in a newer version of Excel. Learn more: https://go.microsoft.com/fwlink/?linkid=870924
Comment:
    It would be helpful to report further model summary information, especially for logistic model, and perhaps pruned tree; LDA results seem to be missing; including glossary of variable labels would improve readability</t>
      </text>
    </comment>
    <comment ref="B21" authorId="5" shapeId="0" xr:uid="{06EF4C5E-C066-41F4-85A8-70D4F9B3A048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Results section somewhat shallow compared to depth of rest of report. Further discussion of the specifics of each model outcome, as well as comparison between models, would be helpful</t>
      </text>
    </comment>
    <comment ref="B25" authorId="6" shapeId="0" xr:uid="{A5DB622A-95CF-49E4-A53F-39329A4FD706}">
      <text>
        <t>[Threaded comment]
Your version of Excel allows you to read this threaded comment; however, any edits to it will get removed if the file is opened in a newer version of Excel. Learn more: https://go.microsoft.com/fwlink/?linkid=870924
Comment:
    Some small typos and grammatical errors / ambiguities.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tc={25458872-C0B4-4AC9-B939-0B73F2453F1B}</author>
    <author>tc={A65CB9D0-1EA8-49E7-AD1D-8BA8FC66EA47}</author>
    <author>tc={9661E41A-17B1-4998-9185-E52665EC1C74}</author>
    <author>tc={A9C67D42-DB0A-4FF6-9306-7AD9DD338ECA}</author>
    <author>tc={1C71628F-2C65-462A-81C5-A3B39C1F3D34}</author>
  </authors>
  <commentList>
    <comment ref="B17" authorId="0" shapeId="0" xr:uid="{25458872-C0B4-4AC9-B939-0B73F2453F1B}">
      <text>
        <t>[Threaded comment]
Your version of Excel allows you to read this threaded comment; however, any edits to it will get removed if the file is opened in a newer version of Excel. Learn more: https://go.microsoft.com/fwlink/?linkid=870924
Comment:
    Some further information about physiological causes of stroke, as well as impact of strokes, could be helpful</t>
      </text>
    </comment>
    <comment ref="B18" authorId="1" shapeId="0" xr:uid="{A65CB9D0-1EA8-49E7-AD1D-8BA8FC66EA47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 significant discussion of data set source (and especially concerns about authenticity / accuracy)
Indicate how many obs were dropped; 
Discuss why only categorical variables were retained</t>
      </text>
    </comment>
    <comment ref="B19" authorId="2" shapeId="0" xr:uid="{9661E41A-17B1-4998-9185-E52665EC1C74}">
      <text>
        <t>[Threaded comment]
Your version of Excel allows you to read this threaded comment; however, any edits to it will get removed if the file is opened in a newer version of Excel. Learn more: https://go.microsoft.com/fwlink/?linkid=870924
Comment:
    In addition to graphs, provide narrative discussing and interpreting data</t>
      </text>
    </comment>
    <comment ref="B20" authorId="3" shapeId="0" xr:uid="{A9C67D42-DB0A-4FF6-9306-7AD9DD338EC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 parameters for models, or discussion of how parameters were automatically determined.
Since accuracy is not the overall goal for model, it would be helpful to include metrics assessing sensitivity / specificity (either numerics or ROC curves)</t>
      </text>
    </comment>
    <comment ref="B21" authorId="4" shapeId="0" xr:uid="{1C71628F-2C65-462A-81C5-A3B39C1F3D34}">
      <text>
        <t>[Threaded comment]
Your version of Excel allows you to read this threaded comment; however, any edits to it will get removed if the file is opened in a newer version of Excel. Learn more: https://go.microsoft.com/fwlink/?linkid=870924
Comment:
    Further discussion of the specifics of each model outcome, as well as comparison between models, would be helpful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tc={78EBDA8C-209C-45F6-BAEE-6F68D3527616}</author>
    <author>tc={24B57964-121A-4712-AAB1-D56BA9628C7C}</author>
    <author>tc={A934D606-1734-4D6B-BA69-ED246110F12E}</author>
  </authors>
  <commentList>
    <comment ref="B17" authorId="0" shapeId="0" xr:uid="{78EBDA8C-209C-45F6-BAEE-6F68D3527616}">
      <text>
        <t>[Threaded comment]
Your version of Excel allows you to read this threaded comment; however, any edits to it will get removed if the file is opened in a newer version of Excel. Learn more: https://go.microsoft.com/fwlink/?linkid=870924
Comment:
    Excellent introduction establishing the need for statistical analysis, as well as the scope and context of the problem</t>
      </text>
    </comment>
    <comment ref="B18" authorId="1" shapeId="0" xr:uid="{24B57964-121A-4712-AAB1-D56BA9628C7C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 and concise explanation of data and wrangling
Include some discussion for why particular response was chosen</t>
      </text>
    </comment>
    <comment ref="B26" authorId="2" shapeId="0" xr:uid="{A934D606-1734-4D6B-BA69-ED246110F12E}">
      <text>
        <t>[Threaded comment]
Your version of Excel allows you to read this threaded comment; however, any edits to it will get removed if the file is opened in a newer version of Excel. Learn more: https://go.microsoft.com/fwlink/?linkid=870924
Comment:
    Given large number of data points, as well as presence of several outliers, subsetting data for visualization may improve interpretability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tc={2E781E23-D05E-4CE8-BC7D-FCAFF7ED02F6}</author>
    <author>tc={2F43039B-72B3-44E4-98E0-4F7E2F80B147}</author>
    <author>tc={C95CB7EE-8369-4D79-BEC4-9B0ECDA4928D}</author>
    <author>tc={6416CE3B-BFE6-4788-9C73-0E58472871B9}</author>
    <author>tc={960972D3-21A0-4035-B260-7B1F34AC9E43}</author>
    <author>tc={0EC1BEEB-BA19-410B-819F-6B3ED050422B}</author>
    <author>tc={9EDF1787-45D5-407D-B055-A9216A0BB3B9}</author>
    <author>tc={C8A58E72-A593-422B-A5E2-211FFD166DFA}</author>
    <author>tc={C0475280-69F6-4A99-B9A8-F3C505C067BD}</author>
    <author>tc={55B27A99-4833-4449-9D87-8946F1C21066}</author>
  </authors>
  <commentList>
    <comment ref="B16" authorId="0" shapeId="0" xr:uid="{2E781E23-D05E-4CE8-BC7D-FCAFF7ED02F6}">
      <text>
        <t>[Threaded comment]
Your version of Excel allows you to read this threaded comment; however, any edits to it will get removed if the file is opened in a newer version of Excel. Learn more: https://go.microsoft.com/fwlink/?linkid=870924
Comment:
    Abstract should include conclusion of study</t>
      </text>
    </comment>
    <comment ref="B17" authorId="1" shapeId="0" xr:uid="{2F43039B-72B3-44E4-98E0-4F7E2F80B1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 further discussion of existing theories and models, as well as some discussion of predictors used for your study</t>
      </text>
    </comment>
    <comment ref="B18" authorId="2" shapeId="0" xr:uid="{C95CB7EE-8369-4D79-BEC4-9B0ECDA4928D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 discussion of the sampling method and limitations for IMDb set; what movies are present in the data? Is the data set representative of the source?
Further discussion of variables present</t>
      </text>
    </comment>
    <comment ref="B19" authorId="3" shapeId="0" xr:uid="{6416CE3B-BFE6-4788-9C73-0E58472871B9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Discuss before / after results of data processing. Explain why individual processing steps were implemented
Year seems like it could be a significant confounding variable. How do responses vary with year? What is the distribution of year itself?</t>
      </text>
    </comment>
    <comment ref="B20" authorId="4" shapeId="0" xr:uid="{960972D3-21A0-4035-B260-7B1F34AC9E43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Oscar variable it categorical, accuracy rather than rMSE is appropriate metric; discrepancy between test and training error for oscars suggests something is amiss (especially since a reasonable prediction for an oscar is either a 0 or a 1); it is more likely this is due to an error in model building than due to overfitting
Include some discussion of individual models</t>
      </text>
    </comment>
    <comment ref="B21" authorId="5" shapeId="0" xr:uid="{0EC1BEEB-BA19-410B-819F-6B3ED050422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 discussion of the outcomes of the model (not just the limitations of the study)</t>
      </text>
    </comment>
    <comment ref="B23" authorId="6" shapeId="0" xr:uid="{9EDF1787-45D5-407D-B055-A9216A0BB3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References not formatted appropriately</t>
      </text>
    </comment>
    <comment ref="B25" authorId="7" shapeId="0" xr:uid="{C8A58E72-A593-422B-A5E2-211FFD166DFA}">
      <text>
        <t>[Threaded comment]
Your version of Excel allows you to read this threaded comment; however, any edits to it will get removed if the file is opened in a newer version of Excel. Learn more: https://go.microsoft.com/fwlink/?linkid=870924
Comment:
    Significant number of grammatical mistakes; inconsistent writing style</t>
      </text>
    </comment>
    <comment ref="B26" authorId="8" shapeId="0" xr:uid="{C0475280-69F6-4A99-B9A8-F3C505C067BD}">
      <text>
        <t>[Threaded comment]
Your version of Excel allows you to read this threaded comment; however, any edits to it will get removed if the file is opened in a newer version of Excel. Learn more: https://go.microsoft.com/fwlink/?linkid=870924
Comment:
    Significant overplotting in scatterplots; text on avg_vote histogram ambiguous</t>
      </text>
    </comment>
    <comment ref="B27" authorId="9" shapeId="0" xr:uid="{55B27A99-4833-4449-9D87-8946F1C21066}">
      <text>
        <t>[Threaded comment]
Your version of Excel allows you to read this threaded comment; however, any edits to it will get removed if the file is opened in a newer version of Excel. Learn more: https://go.microsoft.com/fwlink/?linkid=870924
Comment:
    Document lacks polish</t>
      </text>
    </comment>
  </commentList>
</comments>
</file>

<file path=xl/sharedStrings.xml><?xml version="1.0" encoding="utf-8"?>
<sst xmlns="http://schemas.openxmlformats.org/spreadsheetml/2006/main" count="149" uniqueCount="70">
  <si>
    <t>reed_id</t>
  </si>
  <si>
    <t>last_name</t>
  </si>
  <si>
    <t>S74797</t>
  </si>
  <si>
    <t>Ahn</t>
  </si>
  <si>
    <t>Simon</t>
  </si>
  <si>
    <t>Beeman-Weber</t>
  </si>
  <si>
    <t>Calvin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</si>
  <si>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</si>
  <si>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</si>
  <si>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</si>
  <si>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</si>
  <si>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</si>
  <si>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</si>
  <si>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</si>
  <si>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</si>
  <si>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</si>
  <si>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</si>
  <si>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</si>
  <si>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</si>
  <si>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</si>
  <si>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</si>
  <si>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</si>
  <si>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</si>
  <si>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</si>
  <si>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</si>
  <si>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</si>
  <si>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</si>
  <si>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</si>
  <si>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</si>
  <si>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</si>
  <si>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</si>
  <si>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</si>
  <si>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</si>
  <si>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</si>
  <si>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</si>
  <si>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</si>
  <si>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</si>
  <si>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</si>
  <si>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</si>
  <si>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</si>
  <si>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</si>
  <si>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</si>
  <si>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</si>
  <si>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</si>
  <si>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first_name</t>
  </si>
  <si>
    <t>Group</t>
  </si>
  <si>
    <t>Report</t>
  </si>
  <si>
    <t>Presentation</t>
  </si>
  <si>
    <t>Content</t>
  </si>
  <si>
    <t>Style</t>
  </si>
  <si>
    <t>Analysis</t>
  </si>
  <si>
    <t>Group 1</t>
  </si>
  <si>
    <t>Total</t>
  </si>
  <si>
    <t>Abstract</t>
  </si>
  <si>
    <t>Introduction</t>
  </si>
  <si>
    <t>Methods</t>
  </si>
  <si>
    <t>EDA</t>
  </si>
  <si>
    <t>Results</t>
  </si>
  <si>
    <t>Discussion</t>
  </si>
  <si>
    <t>Code</t>
  </si>
  <si>
    <t>References</t>
  </si>
  <si>
    <t>Grammar, Language, Style</t>
  </si>
  <si>
    <t>Visualizations</t>
  </si>
  <si>
    <t>Group 3</t>
  </si>
  <si>
    <t>Group 2</t>
  </si>
  <si>
    <t>Group 4</t>
  </si>
  <si>
    <t>Group 5</t>
  </si>
  <si>
    <t>Appearance</t>
  </si>
  <si>
    <t>Grade</t>
  </si>
  <si>
    <t>Project_Grade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</si>
</sst>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2"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nathan Wells" id="{CCAFC33E-0A69-4D75-8001-602F13D859D8}" userId="9c2249250b96a809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G18" totalsRowShown="0">
  <autoFilter ref="A1:G18" xr:uid="{F795085B-43A2-614E-8C55-2D866D6F2BB9}"/>
  <sortState xmlns:xlrd2="http://schemas.microsoft.com/office/spreadsheetml/2017/richdata2" ref="A2:G18">
    <sortCondition ref="D1:D18"/>
  </sortState>
  <tableColumns count="7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4" xr3:uid="{C524DDEB-2F3A-3448-9786-159474E2DF2D}" name="Group"/>
    <tableColumn id="5" xr3:uid="{A435395F-A4DA-0145-9160-A4A3311B3E8F}" name="Presentation" dataCellStyle="Percent"/>
    <tableColumn id="7" xr3:uid="{9C711AC8-5787-4B9B-BED7-32D1D807C96B}" name="Report" dataDxfId="1" dataCellStyle="Percent"/>
    <tableColumn id="8" xr3:uid="{712BDCE5-7056-42A5-8A55-E2FA1A67C2D3}" name="Project_Grade" dataDxfId="0" dataCellStyle="Percent">
      <calculatedColumnFormula>Table2[[#This Row],[Presentation]]/3+2*Table2[[#This Row],[Report]]/3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6" dT="2021-12-27T23:00:52.28" personId="{CCAFC33E-0A69-4D75-8001-602F13D859D8}" id="{F70C4CB5-59FC-4E4D-AE49-B470C211DA93}">
    <text>Clear and concise abstract</text>
  </threadedComment>
  <threadedComment ref="B17" dT="2021-12-27T23:02:08.92" personId="{CCAFC33E-0A69-4D75-8001-602F13D859D8}" id="{458E7C6B-BA02-4EB9-9AFB-7267E7404AD9}">
    <text>Introduction could be expanded with further details on the 10.101 funding model (in particular, details about how the model assigns funding)</text>
  </threadedComment>
  <threadedComment ref="B18" dT="2021-12-27T23:07:04.47" personId="{CCAFC33E-0A69-4D75-8001-602F13D859D8}" id="{B5FD13DC-678D-412E-AA91-66D24C2FB034}">
    <text>Great presentation of data</text>
  </threadedComment>
  <threadedComment ref="B20" dT="2021-12-27T23:14:55.58" personId="{CCAFC33E-0A69-4D75-8001-602F13D859D8}" id="{207BEBF0-4B00-43A2-8299-AD5C3151E6C4}">
    <text>Modeling implemented correctly; however, the methods for creating models are not appropriate for research question, and some interpretation of results are misleading or incorrect</text>
  </threadedComment>
  <threadedComment ref="B21" dT="2021-12-27T23:09:06.83" personId="{CCAFC33E-0A69-4D75-8001-602F13D859D8}" id="{A7BCE1D0-2CAC-4BFC-A24D-41479BB77F34}">
    <text>Data and analysis presented do not answer research question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6" dT="2021-12-27T23:53:45.45" personId="{CCAFC33E-0A69-4D75-8001-602F13D859D8}" id="{057BE4C7-D10E-4103-9D56-57CD921ECEBF}">
    <text>Clear and concise abstract</text>
  </threadedComment>
  <threadedComment ref="B17" dT="2021-12-27T23:55:10.69" personId="{CCAFC33E-0A69-4D75-8001-602F13D859D8}" id="{C18074BC-8A8D-4E33-AE60-8C233E926ED2}">
    <text>Strong introduction overall, but language could be more precise</text>
  </threadedComment>
  <threadedComment ref="B18" dT="2021-12-28T00:03:20.52" personId="{CCAFC33E-0A69-4D75-8001-602F13D859D8}" id="{FAC3E211-398C-4714-90DB-C9F4CAEE9982}">
    <text>Impressive data wrangling; some further discussion on KNN imputation would be helpful</text>
  </threadedComment>
  <threadedComment ref="B19" dT="2021-12-28T00:09:49.33" personId="{CCAFC33E-0A69-4D75-8001-602F13D859D8}" id="{5191CB95-AA85-424B-8224-C35B0ADEFA02}">
    <text>Great EDA overall. However, it would be helpful to have statistics on the overall marriage rates for survey respondents (along with number of NAs, if available)</text>
  </threadedComment>
  <threadedComment ref="B20" dT="2021-12-28T00:28:26.76" personId="{CCAFC33E-0A69-4D75-8001-602F13D859D8}" id="{63E7A437-938C-4574-BFF1-F3F4CFF0D60D}">
    <text>It would be helpful to report further model summary information, especially for logistic model, and perhaps pruned tree; LDA results seem to be missing; including glossary of variable labels would improve readability</text>
  </threadedComment>
  <threadedComment ref="B21" dT="2021-12-28T00:36:48.18" personId="{CCAFC33E-0A69-4D75-8001-602F13D859D8}" id="{06EF4C5E-C066-41F4-85A8-70D4F9B3A048}">
    <text>Results section somewhat shallow compared to depth of rest of report. Further discussion of the specifics of each model outcome, as well as comparison between models, would be helpful</text>
  </threadedComment>
  <threadedComment ref="B25" dT="2021-12-28T00:00:32.93" personId="{CCAFC33E-0A69-4D75-8001-602F13D859D8}" id="{A5DB622A-95CF-49E4-A53F-39329A4FD706}">
    <text>Some small typos and grammatical errors / ambiguities.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7" dT="2021-12-28T00:43:06.21" personId="{CCAFC33E-0A69-4D75-8001-602F13D859D8}" id="{25458872-C0B4-4AC9-B939-0B73F2453F1B}">
    <text>Some further information about physiological causes of stroke, as well as impact of strokes, could be helpful</text>
  </threadedComment>
  <threadedComment ref="B18" dT="2021-12-28T00:47:34.36" personId="{CCAFC33E-0A69-4D75-8001-602F13D859D8}" id="{A65CB9D0-1EA8-49E7-AD1D-8BA8FC66EA47}">
    <text>Missing significant discussion of data set source (and especially concerns about authenticity / accuracy)
Indicate how many obs were dropped; 
Discuss why only categorical variables were retained</text>
  </threadedComment>
  <threadedComment ref="B19" dT="2021-12-28T00:58:07.77" personId="{CCAFC33E-0A69-4D75-8001-602F13D859D8}" id="{9661E41A-17B1-4998-9185-E52665EC1C74}">
    <text>In addition to graphs, provide narrative discussing and interpreting data</text>
  </threadedComment>
  <threadedComment ref="B20" dT="2021-12-28T01:00:46.93" personId="{CCAFC33E-0A69-4D75-8001-602F13D859D8}" id="{A9C67D42-DB0A-4FF6-9306-7AD9DD338ECA}">
    <text>Include parameters for models, or discussion of how parameters were automatically determined.
Since accuracy is not the overall goal for model, it would be helpful to include metrics assessing sensitivity / specificity (either numerics or ROC curves)</text>
  </threadedComment>
  <threadedComment ref="B21" dT="2021-12-28T01:08:49.56" personId="{CCAFC33E-0A69-4D75-8001-602F13D859D8}" id="{1C71628F-2C65-462A-81C5-A3B39C1F3D34}">
    <text>Further discussion of the specifics of each model outcome, as well as comparison between models, would be helpful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7" dT="2021-12-28T01:13:46.65" personId="{CCAFC33E-0A69-4D75-8001-602F13D859D8}" id="{78EBDA8C-209C-45F6-BAEE-6F68D3527616}">
    <text>Excellent introduction establishing the need for statistical analysis, as well as the scope and context of the problem</text>
  </threadedComment>
  <threadedComment ref="B18" dT="2021-12-28T01:15:20.67" personId="{CCAFC33E-0A69-4D75-8001-602F13D859D8}" id="{24B57964-121A-4712-AAB1-D56BA9628C7C}">
    <text>Clear and concise explanation of data and wrangling
Include some discussion for why particular response was chosen</text>
  </threadedComment>
  <threadedComment ref="B26" dT="2021-12-28T01:28:44.03" personId="{CCAFC33E-0A69-4D75-8001-602F13D859D8}" id="{A934D606-1734-4D6B-BA69-ED246110F12E}">
    <text>Given large number of data points, as well as presence of several outliers, subsetting data for visualization may improve interpretability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1-12-28T01:42:58.87" personId="{CCAFC33E-0A69-4D75-8001-602F13D859D8}" id="{2E781E23-D05E-4CE8-BC7D-FCAFF7ED02F6}">
    <text>Abstract should include conclusion of study</text>
  </threadedComment>
  <threadedComment ref="B17" dT="2021-12-28T01:45:30.04" personId="{CCAFC33E-0A69-4D75-8001-602F13D859D8}" id="{2F43039B-72B3-44E4-98E0-4F7E2F80B147}">
    <text>Include further discussion of existing theories and models, as well as some discussion of predictors used for your study</text>
  </threadedComment>
  <threadedComment ref="B18" dT="2021-12-28T01:47:42.60" personId="{CCAFC33E-0A69-4D75-8001-602F13D859D8}" id="{C95CB7EE-8369-4D79-BEC4-9B0ECDA4928D}">
    <text>Include discussion of the sampling method and limitations for IMDb set; what movies are present in the data? Is the data set representative of the source?
Further discussion of variables present</text>
  </threadedComment>
  <threadedComment ref="B19" dT="2021-12-28T01:49:34.22" personId="{CCAFC33E-0A69-4D75-8001-602F13D859D8}" id="{6416CE3B-BFE6-4788-9C73-0E58472871B9}">
    <text>Discuss before / after results of data processing. Explain why individual processing steps were implemented
Year seems like it could be a significant confounding variable. How do responses vary with year? What is the distribution of year itself?</text>
  </threadedComment>
  <threadedComment ref="B20" dT="2021-12-28T02:01:50.98" personId="{CCAFC33E-0A69-4D75-8001-602F13D859D8}" id="{960972D3-21A0-4035-B260-7B1F34AC9E43}">
    <text>Since Oscar variable it categorical, accuracy rather than rMSE is appropriate metric; discrepancy between test and training error for oscars suggests something is amiss (especially since a reasonable prediction for an oscar is either a 0 or a 1); it is more likely this is due to an error in model building than due to overfitting
Include some discussion of individual models</text>
  </threadedComment>
  <threadedComment ref="B21" dT="2021-12-28T02:08:41.83" personId="{CCAFC33E-0A69-4D75-8001-602F13D859D8}" id="{0EC1BEEB-BA19-410B-819F-6B3ED050422B}">
    <text>Include discussion of the outcomes of the model (not just the limitations of the study)</text>
  </threadedComment>
  <threadedComment ref="B23" dT="2021-12-28T01:41:20.98" personId="{CCAFC33E-0A69-4D75-8001-602F13D859D8}" id="{9EDF1787-45D5-407D-B055-A9216A0BB3B9}">
    <text>References not formatted appropriately</text>
  </threadedComment>
  <threadedComment ref="B25" dT="2021-12-28T02:07:30.94" personId="{CCAFC33E-0A69-4D75-8001-602F13D859D8}" id="{C8A58E72-A593-422B-A5E2-211FFD166DFA}">
    <text>Significant number of grammatical mistakes; inconsistent writing style</text>
  </threadedComment>
  <threadedComment ref="B26" dT="2021-12-28T01:52:38.37" personId="{CCAFC33E-0A69-4D75-8001-602F13D859D8}" id="{C0475280-69F6-4A99-B9A8-F3C505C067BD}">
    <text>Significant overplotting in scatterplots; text on avg_vote histogram ambiguous</text>
  </threadedComment>
  <threadedComment ref="B27" dT="2021-12-28T02:07:05.10" personId="{CCAFC33E-0A69-4D75-8001-602F13D859D8}" id="{55B27A99-4833-4449-9D87-8946F1C21066}">
    <text>Document lacks polish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G27"/>
  <sheetViews>
    <sheetView tabSelected="1" zoomScale="140" zoomScaleNormal="140" workbookViewId="0">
      <selection activeCell="G1" sqref="G1"/>
    </sheetView>
  </sheetViews>
  <sheetFormatPr defaultColWidth="11" defaultRowHeight="15.75" x14ac:dyDescent="0.25"/>
  <cols>
    <col min="2" max="2" width="12.125" customWidth="1"/>
    <col min="3" max="3" width="12.5" customWidth="1"/>
  </cols>
  <sheetData>
    <row r="1" spans="1:7" x14ac:dyDescent="0.25">
      <c r="A1" t="s">
        <v>0</v>
      </c>
      <c r="B1" t="s">
        <v>1</v>
      </c>
      <c r="C1" t="s">
        <v>44</v>
      </c>
      <c r="D1" s="1" t="s">
        <v>45</v>
      </c>
      <c r="E1" s="1" t="s">
        <v>47</v>
      </c>
      <c r="F1" s="1" t="s">
        <v>46</v>
      </c>
      <c r="G1" s="1" t="s">
        <v>69</v>
      </c>
    </row>
    <row r="2" spans="1:7" x14ac:dyDescent="0.25">
      <c r="A2">
        <v>20008352</v>
      </c>
      <c r="B2" t="s">
        <v>42</v>
      </c>
      <c r="C2" t="s">
        <v>43</v>
      </c>
      <c r="D2">
        <v>1</v>
      </c>
      <c r="E2" s="2">
        <v>0.88</v>
      </c>
      <c r="F2" s="3">
        <v>0.875</v>
      </c>
      <c r="G2" s="3">
        <f>Table2[[#This Row],[Presentation]]/3+2*Table2[[#This Row],[Report]]/3</f>
        <v>0.87666666666666671</v>
      </c>
    </row>
    <row r="3" spans="1:7" x14ac:dyDescent="0.25">
      <c r="A3">
        <v>20010417</v>
      </c>
      <c r="B3" t="s">
        <v>19</v>
      </c>
      <c r="C3" t="s">
        <v>20</v>
      </c>
      <c r="D3">
        <v>1</v>
      </c>
      <c r="E3" s="2">
        <v>0.88</v>
      </c>
      <c r="F3" s="3">
        <v>0.875</v>
      </c>
      <c r="G3" s="3">
        <f>Table2[[#This Row],[Presentation]]/3+2*Table2[[#This Row],[Report]]/3</f>
        <v>0.87666666666666671</v>
      </c>
    </row>
    <row r="4" spans="1:7" x14ac:dyDescent="0.25">
      <c r="A4" t="s">
        <v>2</v>
      </c>
      <c r="B4" t="s">
        <v>3</v>
      </c>
      <c r="C4" t="s">
        <v>4</v>
      </c>
      <c r="D4">
        <v>1</v>
      </c>
      <c r="E4" s="2">
        <v>0.88</v>
      </c>
      <c r="F4" s="3">
        <v>0.875</v>
      </c>
      <c r="G4" s="3">
        <f>Table2[[#This Row],[Presentation]]/3+2*Table2[[#This Row],[Report]]/3</f>
        <v>0.87666666666666671</v>
      </c>
    </row>
    <row r="5" spans="1:7" x14ac:dyDescent="0.25">
      <c r="A5">
        <v>20013614</v>
      </c>
      <c r="B5" t="s">
        <v>7</v>
      </c>
      <c r="C5" t="s">
        <v>8</v>
      </c>
      <c r="D5">
        <v>1</v>
      </c>
      <c r="E5" s="2">
        <v>0.88</v>
      </c>
      <c r="F5" s="3">
        <v>0.875</v>
      </c>
      <c r="G5" s="3">
        <f>Table2[[#This Row],[Presentation]]/3+2*Table2[[#This Row],[Report]]/3</f>
        <v>0.87666666666666671</v>
      </c>
    </row>
    <row r="6" spans="1:7" x14ac:dyDescent="0.25">
      <c r="A6">
        <v>20009766</v>
      </c>
      <c r="B6" t="s">
        <v>5</v>
      </c>
      <c r="C6" t="s">
        <v>6</v>
      </c>
      <c r="D6">
        <v>2</v>
      </c>
      <c r="E6" s="2">
        <v>0.92</v>
      </c>
      <c r="F6" s="3">
        <v>0.92</v>
      </c>
      <c r="G6" s="3">
        <f>Table2[[#This Row],[Presentation]]/3+2*Table2[[#This Row],[Report]]/3</f>
        <v>0.92000000000000015</v>
      </c>
    </row>
    <row r="7" spans="1:7" x14ac:dyDescent="0.25">
      <c r="A7">
        <v>20005442</v>
      </c>
      <c r="B7" t="s">
        <v>40</v>
      </c>
      <c r="C7" t="s">
        <v>41</v>
      </c>
      <c r="D7">
        <v>2</v>
      </c>
      <c r="E7" s="2">
        <v>0.92</v>
      </c>
      <c r="F7" s="3">
        <v>0.92</v>
      </c>
      <c r="G7" s="3">
        <f>Table2[[#This Row],[Presentation]]/3+2*Table2[[#This Row],[Report]]/3</f>
        <v>0.92000000000000015</v>
      </c>
    </row>
    <row r="8" spans="1:7" x14ac:dyDescent="0.25">
      <c r="A8" t="s">
        <v>37</v>
      </c>
      <c r="B8" t="s">
        <v>38</v>
      </c>
      <c r="C8" t="s">
        <v>39</v>
      </c>
      <c r="D8">
        <v>2</v>
      </c>
      <c r="E8" s="2">
        <v>0.92</v>
      </c>
      <c r="F8" s="3">
        <v>0.92</v>
      </c>
      <c r="G8" s="3">
        <f>Table2[[#This Row],[Presentation]]/3+2*Table2[[#This Row],[Report]]/3</f>
        <v>0.92000000000000015</v>
      </c>
    </row>
    <row r="9" spans="1:7" x14ac:dyDescent="0.25">
      <c r="A9">
        <v>20010981</v>
      </c>
      <c r="B9" t="s">
        <v>32</v>
      </c>
      <c r="C9" t="s">
        <v>33</v>
      </c>
      <c r="D9">
        <v>2</v>
      </c>
      <c r="E9" s="2">
        <v>0.92</v>
      </c>
      <c r="F9" s="3">
        <v>0.92</v>
      </c>
      <c r="G9" s="3">
        <f>Table2[[#This Row],[Presentation]]/3+2*Table2[[#This Row],[Report]]/3</f>
        <v>0.92000000000000015</v>
      </c>
    </row>
    <row r="10" spans="1:7" x14ac:dyDescent="0.25">
      <c r="A10" t="s">
        <v>26</v>
      </c>
      <c r="B10" t="s">
        <v>27</v>
      </c>
      <c r="C10" t="s">
        <v>28</v>
      </c>
      <c r="D10">
        <v>3</v>
      </c>
      <c r="E10" s="2">
        <v>0.9</v>
      </c>
      <c r="F10" s="3">
        <v>0.88500000000000001</v>
      </c>
      <c r="G10" s="3">
        <f>Table2[[#This Row],[Presentation]]/3+2*Table2[[#This Row],[Report]]/3</f>
        <v>0.8899999999999999</v>
      </c>
    </row>
    <row r="11" spans="1:7" x14ac:dyDescent="0.25">
      <c r="A11" t="s">
        <v>29</v>
      </c>
      <c r="B11" t="s">
        <v>30</v>
      </c>
      <c r="C11" t="s">
        <v>31</v>
      </c>
      <c r="D11">
        <v>3</v>
      </c>
      <c r="E11" s="2">
        <v>0.9</v>
      </c>
      <c r="F11" s="3">
        <v>0.88500000000000001</v>
      </c>
      <c r="G11" s="3">
        <f>Table2[[#This Row],[Presentation]]/3+2*Table2[[#This Row],[Report]]/3</f>
        <v>0.8899999999999999</v>
      </c>
    </row>
    <row r="12" spans="1:7" x14ac:dyDescent="0.25">
      <c r="A12" t="s">
        <v>13</v>
      </c>
      <c r="B12" t="s">
        <v>14</v>
      </c>
      <c r="C12" t="s">
        <v>15</v>
      </c>
      <c r="D12">
        <v>3</v>
      </c>
      <c r="E12" s="2">
        <v>0.9</v>
      </c>
      <c r="F12" s="3">
        <v>0.88500000000000001</v>
      </c>
      <c r="G12" s="3">
        <f>Table2[[#This Row],[Presentation]]/3+2*Table2[[#This Row],[Report]]/3</f>
        <v>0.8899999999999999</v>
      </c>
    </row>
    <row r="13" spans="1:7" x14ac:dyDescent="0.25">
      <c r="A13">
        <v>20016821</v>
      </c>
      <c r="B13" t="s">
        <v>11</v>
      </c>
      <c r="C13" t="s">
        <v>12</v>
      </c>
      <c r="D13">
        <v>4</v>
      </c>
      <c r="E13" s="2">
        <v>1</v>
      </c>
      <c r="F13" s="3">
        <v>0.99</v>
      </c>
      <c r="G13" s="3">
        <f>Table2[[#This Row],[Presentation]]/3+2*Table2[[#This Row],[Report]]/3</f>
        <v>0.9933333333333334</v>
      </c>
    </row>
    <row r="14" spans="1:7" x14ac:dyDescent="0.25">
      <c r="A14" t="s">
        <v>23</v>
      </c>
      <c r="B14" t="s">
        <v>24</v>
      </c>
      <c r="C14" t="s">
        <v>25</v>
      </c>
      <c r="D14">
        <v>4</v>
      </c>
      <c r="E14" s="2">
        <v>1</v>
      </c>
      <c r="F14" s="3">
        <v>0.99</v>
      </c>
      <c r="G14" s="3">
        <f>Table2[[#This Row],[Presentation]]/3+2*Table2[[#This Row],[Report]]/3</f>
        <v>0.9933333333333334</v>
      </c>
    </row>
    <row r="15" spans="1:7" x14ac:dyDescent="0.25">
      <c r="A15" t="s">
        <v>34</v>
      </c>
      <c r="B15" t="s">
        <v>35</v>
      </c>
      <c r="C15" t="s">
        <v>36</v>
      </c>
      <c r="D15">
        <v>4</v>
      </c>
      <c r="E15" s="2">
        <v>1</v>
      </c>
      <c r="F15" s="3">
        <v>0.99</v>
      </c>
      <c r="G15" s="3">
        <f>Table2[[#This Row],[Presentation]]/3+2*Table2[[#This Row],[Report]]/3</f>
        <v>0.9933333333333334</v>
      </c>
    </row>
    <row r="16" spans="1:7" x14ac:dyDescent="0.25">
      <c r="A16">
        <v>20007907</v>
      </c>
      <c r="B16" t="s">
        <v>21</v>
      </c>
      <c r="C16" t="s">
        <v>22</v>
      </c>
      <c r="D16">
        <v>5</v>
      </c>
      <c r="E16" s="2">
        <v>0.78</v>
      </c>
      <c r="F16" s="3">
        <v>0.7</v>
      </c>
      <c r="G16" s="3">
        <f>Table2[[#This Row],[Presentation]]/3+2*Table2[[#This Row],[Report]]/3</f>
        <v>0.72666666666666657</v>
      </c>
    </row>
    <row r="17" spans="1:7" x14ac:dyDescent="0.25">
      <c r="A17" t="s">
        <v>16</v>
      </c>
      <c r="B17" t="s">
        <v>17</v>
      </c>
      <c r="C17" t="s">
        <v>18</v>
      </c>
      <c r="D17">
        <v>5</v>
      </c>
      <c r="E17" s="2">
        <v>0.78</v>
      </c>
      <c r="F17" s="3">
        <v>0.7</v>
      </c>
      <c r="G17" s="3">
        <f>Table2[[#This Row],[Presentation]]/3+2*Table2[[#This Row],[Report]]/3</f>
        <v>0.72666666666666657</v>
      </c>
    </row>
    <row r="18" spans="1:7" x14ac:dyDescent="0.25">
      <c r="A18">
        <v>20016819</v>
      </c>
      <c r="B18" t="s">
        <v>9</v>
      </c>
      <c r="C18" t="s">
        <v>10</v>
      </c>
      <c r="D18">
        <v>5</v>
      </c>
      <c r="E18" s="2">
        <v>0.78</v>
      </c>
      <c r="F18" s="3">
        <v>0.7</v>
      </c>
      <c r="G18" s="3">
        <f>Table2[[#This Row],[Presentation]]/3+2*Table2[[#This Row],[Report]]/3</f>
        <v>0.72666666666666657</v>
      </c>
    </row>
    <row r="19" spans="1:7" x14ac:dyDescent="0.25">
      <c r="F19" s="5"/>
    </row>
    <row r="20" spans="1:7" x14ac:dyDescent="0.25">
      <c r="E20" s="2"/>
      <c r="F20" s="4"/>
      <c r="G20" s="2"/>
    </row>
    <row r="21" spans="1:7" x14ac:dyDescent="0.25">
      <c r="E21" s="2"/>
      <c r="F21" s="4"/>
      <c r="G21" s="2"/>
    </row>
    <row r="22" spans="1:7" x14ac:dyDescent="0.25">
      <c r="E22" s="2"/>
      <c r="F22" s="4"/>
      <c r="G22" s="2"/>
    </row>
    <row r="23" spans="1:7" x14ac:dyDescent="0.25">
      <c r="E23" s="2"/>
      <c r="F23" s="4"/>
      <c r="G23" s="2"/>
    </row>
    <row r="24" spans="1:7" x14ac:dyDescent="0.25">
      <c r="E24" s="2"/>
      <c r="F24" s="4"/>
      <c r="G24" s="2"/>
    </row>
    <row r="25" spans="1:7" x14ac:dyDescent="0.25">
      <c r="E25" s="2"/>
      <c r="F25" s="4"/>
      <c r="G25" s="2"/>
    </row>
    <row r="26" spans="1:7" x14ac:dyDescent="0.25">
      <c r="E26" s="2"/>
      <c r="F26" s="4"/>
      <c r="G26" s="2"/>
    </row>
    <row r="27" spans="1:7" x14ac:dyDescent="0.25">
      <c r="F27" s="4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97858-D3E6-4A5D-BD60-07AB48F639FB}">
  <dimension ref="A1:C29"/>
  <sheetViews>
    <sheetView workbookViewId="0">
      <selection activeCell="F7" sqref="F7"/>
    </sheetView>
  </sheetViews>
  <sheetFormatPr defaultRowHeight="15.75" x14ac:dyDescent="0.25"/>
  <cols>
    <col min="1" max="1" width="21.75" customWidth="1"/>
  </cols>
  <sheetData>
    <row r="1" spans="1:3" x14ac:dyDescent="0.25">
      <c r="A1" t="s">
        <v>51</v>
      </c>
      <c r="B1" t="s">
        <v>47</v>
      </c>
    </row>
    <row r="3" spans="1:3" x14ac:dyDescent="0.25">
      <c r="A3" t="s">
        <v>48</v>
      </c>
      <c r="B3">
        <v>3</v>
      </c>
      <c r="C3">
        <v>4</v>
      </c>
    </row>
    <row r="4" spans="1:3" x14ac:dyDescent="0.25">
      <c r="A4" t="s">
        <v>49</v>
      </c>
      <c r="B4">
        <v>4</v>
      </c>
      <c r="C4">
        <v>4</v>
      </c>
    </row>
    <row r="5" spans="1:3" x14ac:dyDescent="0.25">
      <c r="A5" t="s">
        <v>50</v>
      </c>
      <c r="B5">
        <v>3</v>
      </c>
      <c r="C5">
        <v>4</v>
      </c>
    </row>
    <row r="7" spans="1:3" x14ac:dyDescent="0.25">
      <c r="A7" t="s">
        <v>52</v>
      </c>
      <c r="B7">
        <f>SUM(B3:B6)</f>
        <v>10</v>
      </c>
      <c r="C7">
        <f>SUM(C3:C6)</f>
        <v>12</v>
      </c>
    </row>
    <row r="8" spans="1:3" x14ac:dyDescent="0.25">
      <c r="A8" t="s">
        <v>68</v>
      </c>
      <c r="B8">
        <f>B7/C7*C8</f>
        <v>3.3333333333333335</v>
      </c>
      <c r="C8">
        <v>4</v>
      </c>
    </row>
    <row r="14" spans="1:3" x14ac:dyDescent="0.25">
      <c r="B14" t="s">
        <v>46</v>
      </c>
    </row>
    <row r="16" spans="1:3" x14ac:dyDescent="0.25">
      <c r="A16" t="s">
        <v>53</v>
      </c>
      <c r="B16">
        <v>5</v>
      </c>
      <c r="C16">
        <v>5</v>
      </c>
    </row>
    <row r="17" spans="1:3" x14ac:dyDescent="0.25">
      <c r="A17" t="s">
        <v>54</v>
      </c>
      <c r="B17">
        <v>3.5</v>
      </c>
      <c r="C17">
        <v>5</v>
      </c>
    </row>
    <row r="18" spans="1:3" x14ac:dyDescent="0.25">
      <c r="A18" t="s">
        <v>55</v>
      </c>
      <c r="B18">
        <v>10</v>
      </c>
      <c r="C18">
        <v>10</v>
      </c>
    </row>
    <row r="19" spans="1:3" x14ac:dyDescent="0.25">
      <c r="A19" t="s">
        <v>56</v>
      </c>
      <c r="B19">
        <v>10</v>
      </c>
      <c r="C19">
        <v>10</v>
      </c>
    </row>
    <row r="20" spans="1:3" x14ac:dyDescent="0.25">
      <c r="A20" t="s">
        <v>57</v>
      </c>
      <c r="B20">
        <v>9</v>
      </c>
      <c r="C20">
        <v>15</v>
      </c>
    </row>
    <row r="21" spans="1:3" x14ac:dyDescent="0.25">
      <c r="A21" t="s">
        <v>58</v>
      </c>
      <c r="B21">
        <v>5</v>
      </c>
      <c r="C21">
        <v>10</v>
      </c>
    </row>
    <row r="22" spans="1:3" x14ac:dyDescent="0.25">
      <c r="A22" t="s">
        <v>59</v>
      </c>
      <c r="B22">
        <v>5</v>
      </c>
      <c r="C22">
        <v>5</v>
      </c>
    </row>
    <row r="23" spans="1:3" x14ac:dyDescent="0.25">
      <c r="A23" t="s">
        <v>60</v>
      </c>
      <c r="B23">
        <v>5</v>
      </c>
      <c r="C23">
        <v>5</v>
      </c>
    </row>
    <row r="25" spans="1:3" x14ac:dyDescent="0.25">
      <c r="A25" t="s">
        <v>61</v>
      </c>
      <c r="B25">
        <v>20</v>
      </c>
      <c r="C25">
        <v>20</v>
      </c>
    </row>
    <row r="26" spans="1:3" x14ac:dyDescent="0.25">
      <c r="A26" t="s">
        <v>62</v>
      </c>
      <c r="B26">
        <v>10</v>
      </c>
      <c r="C26">
        <v>10</v>
      </c>
    </row>
    <row r="27" spans="1:3" x14ac:dyDescent="0.25">
      <c r="A27" t="s">
        <v>67</v>
      </c>
      <c r="B27">
        <v>5</v>
      </c>
      <c r="C27">
        <v>5</v>
      </c>
    </row>
    <row r="29" spans="1:3" x14ac:dyDescent="0.25">
      <c r="A29" t="s">
        <v>52</v>
      </c>
      <c r="B29">
        <f>SUM(B16:B27)</f>
        <v>87.5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99F91-6780-4BE4-86FA-CEEB9E8050AF}">
  <dimension ref="A1:C29"/>
  <sheetViews>
    <sheetView workbookViewId="0">
      <selection activeCell="F6" sqref="F6"/>
    </sheetView>
  </sheetViews>
  <sheetFormatPr defaultRowHeight="15.75" x14ac:dyDescent="0.25"/>
  <cols>
    <col min="1" max="1" width="21.5" customWidth="1"/>
  </cols>
  <sheetData>
    <row r="1" spans="1:3" x14ac:dyDescent="0.25">
      <c r="A1" t="s">
        <v>64</v>
      </c>
      <c r="B1" t="s">
        <v>47</v>
      </c>
    </row>
    <row r="3" spans="1:3" x14ac:dyDescent="0.25">
      <c r="A3" t="s">
        <v>48</v>
      </c>
      <c r="B3">
        <v>4</v>
      </c>
      <c r="C3">
        <v>4</v>
      </c>
    </row>
    <row r="4" spans="1:3" x14ac:dyDescent="0.25">
      <c r="A4" t="s">
        <v>49</v>
      </c>
      <c r="B4">
        <v>4</v>
      </c>
      <c r="C4">
        <v>4</v>
      </c>
    </row>
    <row r="5" spans="1:3" x14ac:dyDescent="0.25">
      <c r="A5" t="s">
        <v>50</v>
      </c>
      <c r="B5">
        <v>3.5</v>
      </c>
      <c r="C5">
        <v>4</v>
      </c>
    </row>
    <row r="7" spans="1:3" x14ac:dyDescent="0.25">
      <c r="A7" t="s">
        <v>52</v>
      </c>
      <c r="B7">
        <f>SUM(B3:B6)</f>
        <v>11.5</v>
      </c>
      <c r="C7">
        <f>SUM(C3:C6)</f>
        <v>12</v>
      </c>
    </row>
    <row r="8" spans="1:3" x14ac:dyDescent="0.25">
      <c r="A8" t="s">
        <v>68</v>
      </c>
      <c r="B8">
        <f>B7/C7*C8</f>
        <v>3.8333333333333335</v>
      </c>
      <c r="C8">
        <v>4</v>
      </c>
    </row>
    <row r="14" spans="1:3" x14ac:dyDescent="0.25">
      <c r="B14" t="s">
        <v>46</v>
      </c>
    </row>
    <row r="16" spans="1:3" x14ac:dyDescent="0.25">
      <c r="A16" t="s">
        <v>53</v>
      </c>
      <c r="B16">
        <v>5</v>
      </c>
      <c r="C16">
        <v>5</v>
      </c>
    </row>
    <row r="17" spans="1:3" x14ac:dyDescent="0.25">
      <c r="A17" t="s">
        <v>54</v>
      </c>
      <c r="B17">
        <v>4.5</v>
      </c>
      <c r="C17">
        <v>5</v>
      </c>
    </row>
    <row r="18" spans="1:3" x14ac:dyDescent="0.25">
      <c r="A18" t="s">
        <v>55</v>
      </c>
      <c r="B18">
        <v>9.5</v>
      </c>
      <c r="C18">
        <v>10</v>
      </c>
    </row>
    <row r="19" spans="1:3" x14ac:dyDescent="0.25">
      <c r="A19" t="s">
        <v>56</v>
      </c>
      <c r="B19">
        <v>9.5</v>
      </c>
      <c r="C19">
        <v>10</v>
      </c>
    </row>
    <row r="20" spans="1:3" x14ac:dyDescent="0.25">
      <c r="A20" t="s">
        <v>57</v>
      </c>
      <c r="B20">
        <v>12</v>
      </c>
      <c r="C20">
        <v>15</v>
      </c>
    </row>
    <row r="21" spans="1:3" x14ac:dyDescent="0.25">
      <c r="A21" t="s">
        <v>58</v>
      </c>
      <c r="B21">
        <v>8.5</v>
      </c>
      <c r="C21">
        <v>10</v>
      </c>
    </row>
    <row r="22" spans="1:3" x14ac:dyDescent="0.25">
      <c r="A22" t="s">
        <v>59</v>
      </c>
      <c r="B22">
        <v>5</v>
      </c>
      <c r="C22">
        <v>5</v>
      </c>
    </row>
    <row r="23" spans="1:3" x14ac:dyDescent="0.25">
      <c r="A23" t="s">
        <v>60</v>
      </c>
      <c r="B23">
        <v>5</v>
      </c>
      <c r="C23">
        <v>5</v>
      </c>
    </row>
    <row r="25" spans="1:3" x14ac:dyDescent="0.25">
      <c r="A25" t="s">
        <v>61</v>
      </c>
      <c r="B25">
        <v>18</v>
      </c>
      <c r="C25">
        <v>20</v>
      </c>
    </row>
    <row r="26" spans="1:3" x14ac:dyDescent="0.25">
      <c r="A26" t="s">
        <v>62</v>
      </c>
      <c r="B26">
        <v>10</v>
      </c>
      <c r="C26">
        <v>10</v>
      </c>
    </row>
    <row r="27" spans="1:3" x14ac:dyDescent="0.25">
      <c r="A27" t="s">
        <v>67</v>
      </c>
      <c r="B27">
        <v>5</v>
      </c>
      <c r="C27">
        <v>5</v>
      </c>
    </row>
    <row r="29" spans="1:3" x14ac:dyDescent="0.25">
      <c r="A29" t="s">
        <v>52</v>
      </c>
      <c r="B29">
        <f>SUM(B16:B27)</f>
        <v>92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A8F79-884B-4CAD-9BB6-E35CC4E42E42}">
  <dimension ref="A1:C29"/>
  <sheetViews>
    <sheetView workbookViewId="0">
      <selection activeCell="F14" sqref="F14"/>
    </sheetView>
  </sheetViews>
  <sheetFormatPr defaultRowHeight="15.75" x14ac:dyDescent="0.25"/>
  <cols>
    <col min="1" max="1" width="20.625" customWidth="1"/>
  </cols>
  <sheetData>
    <row r="1" spans="1:3" x14ac:dyDescent="0.25">
      <c r="A1" t="s">
        <v>63</v>
      </c>
      <c r="B1" t="s">
        <v>47</v>
      </c>
    </row>
    <row r="3" spans="1:3" x14ac:dyDescent="0.25">
      <c r="A3" t="s">
        <v>48</v>
      </c>
      <c r="B3">
        <v>3.5</v>
      </c>
      <c r="C3">
        <v>4</v>
      </c>
    </row>
    <row r="4" spans="1:3" x14ac:dyDescent="0.25">
      <c r="A4" t="s">
        <v>49</v>
      </c>
      <c r="B4">
        <v>4</v>
      </c>
      <c r="C4">
        <v>4</v>
      </c>
    </row>
    <row r="5" spans="1:3" x14ac:dyDescent="0.25">
      <c r="A5" t="s">
        <v>50</v>
      </c>
      <c r="B5">
        <v>3</v>
      </c>
      <c r="C5">
        <v>4</v>
      </c>
    </row>
    <row r="7" spans="1:3" x14ac:dyDescent="0.25">
      <c r="A7" t="s">
        <v>52</v>
      </c>
      <c r="B7">
        <f>SUM(B3:B6)</f>
        <v>10.5</v>
      </c>
      <c r="C7">
        <f>SUM(C3:C6)</f>
        <v>12</v>
      </c>
    </row>
    <row r="8" spans="1:3" x14ac:dyDescent="0.25">
      <c r="A8" t="s">
        <v>68</v>
      </c>
      <c r="B8">
        <f>B7/C7*C8</f>
        <v>3.5</v>
      </c>
      <c r="C8">
        <v>4</v>
      </c>
    </row>
    <row r="14" spans="1:3" x14ac:dyDescent="0.25">
      <c r="B14" t="s">
        <v>46</v>
      </c>
    </row>
    <row r="16" spans="1:3" x14ac:dyDescent="0.25">
      <c r="A16" t="s">
        <v>53</v>
      </c>
      <c r="B16">
        <v>5</v>
      </c>
      <c r="C16">
        <v>5</v>
      </c>
    </row>
    <row r="17" spans="1:3" x14ac:dyDescent="0.25">
      <c r="A17" t="s">
        <v>54</v>
      </c>
      <c r="B17">
        <v>4</v>
      </c>
      <c r="C17">
        <v>5</v>
      </c>
    </row>
    <row r="18" spans="1:3" x14ac:dyDescent="0.25">
      <c r="A18" t="s">
        <v>55</v>
      </c>
      <c r="B18">
        <v>7</v>
      </c>
      <c r="C18">
        <v>10</v>
      </c>
    </row>
    <row r="19" spans="1:3" x14ac:dyDescent="0.25">
      <c r="A19" t="s">
        <v>56</v>
      </c>
      <c r="B19">
        <v>7</v>
      </c>
      <c r="C19">
        <v>10</v>
      </c>
    </row>
    <row r="20" spans="1:3" x14ac:dyDescent="0.25">
      <c r="A20" t="s">
        <v>57</v>
      </c>
      <c r="B20">
        <v>12</v>
      </c>
      <c r="C20">
        <v>15</v>
      </c>
    </row>
    <row r="21" spans="1:3" x14ac:dyDescent="0.25">
      <c r="A21" t="s">
        <v>58</v>
      </c>
      <c r="B21">
        <v>8.5</v>
      </c>
      <c r="C21">
        <v>10</v>
      </c>
    </row>
    <row r="22" spans="1:3" x14ac:dyDescent="0.25">
      <c r="A22" t="s">
        <v>59</v>
      </c>
      <c r="B22">
        <v>5</v>
      </c>
      <c r="C22">
        <v>5</v>
      </c>
    </row>
    <row r="23" spans="1:3" x14ac:dyDescent="0.25">
      <c r="A23" t="s">
        <v>60</v>
      </c>
      <c r="B23">
        <v>5</v>
      </c>
      <c r="C23">
        <v>5</v>
      </c>
    </row>
    <row r="25" spans="1:3" x14ac:dyDescent="0.25">
      <c r="A25" t="s">
        <v>61</v>
      </c>
      <c r="B25">
        <v>20</v>
      </c>
      <c r="C25">
        <v>20</v>
      </c>
    </row>
    <row r="26" spans="1:3" x14ac:dyDescent="0.25">
      <c r="A26" t="s">
        <v>62</v>
      </c>
      <c r="B26">
        <v>10</v>
      </c>
      <c r="C26">
        <v>10</v>
      </c>
    </row>
    <row r="27" spans="1:3" x14ac:dyDescent="0.25">
      <c r="A27" t="s">
        <v>67</v>
      </c>
      <c r="B27">
        <v>5</v>
      </c>
      <c r="C27">
        <v>5</v>
      </c>
    </row>
    <row r="29" spans="1:3" x14ac:dyDescent="0.25">
      <c r="A29" t="s">
        <v>52</v>
      </c>
      <c r="B29">
        <f>SUM(B16:B27)</f>
        <v>88.5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4CFB1-A5DB-42F3-AF86-7FDCBE37BF23}">
  <dimension ref="A1:C29"/>
  <sheetViews>
    <sheetView workbookViewId="0">
      <selection activeCell="G8" sqref="G8"/>
    </sheetView>
  </sheetViews>
  <sheetFormatPr defaultRowHeight="15.75" x14ac:dyDescent="0.25"/>
  <cols>
    <col min="1" max="1" width="21.5" customWidth="1"/>
  </cols>
  <sheetData>
    <row r="1" spans="1:3" x14ac:dyDescent="0.25">
      <c r="A1" t="s">
        <v>65</v>
      </c>
      <c r="B1" t="s">
        <v>47</v>
      </c>
    </row>
    <row r="3" spans="1:3" x14ac:dyDescent="0.25">
      <c r="A3" t="s">
        <v>48</v>
      </c>
      <c r="B3">
        <v>4</v>
      </c>
      <c r="C3">
        <v>4</v>
      </c>
    </row>
    <row r="4" spans="1:3" x14ac:dyDescent="0.25">
      <c r="A4" t="s">
        <v>49</v>
      </c>
      <c r="B4">
        <v>4</v>
      </c>
      <c r="C4">
        <v>4</v>
      </c>
    </row>
    <row r="5" spans="1:3" x14ac:dyDescent="0.25">
      <c r="A5" t="s">
        <v>50</v>
      </c>
      <c r="B5">
        <v>4</v>
      </c>
      <c r="C5">
        <v>4</v>
      </c>
    </row>
    <row r="7" spans="1:3" x14ac:dyDescent="0.25">
      <c r="A7" t="s">
        <v>52</v>
      </c>
      <c r="B7">
        <f>SUM(B3:B6)</f>
        <v>12</v>
      </c>
      <c r="C7">
        <f>SUM(C3:C6)</f>
        <v>12</v>
      </c>
    </row>
    <row r="8" spans="1:3" x14ac:dyDescent="0.25">
      <c r="A8" t="s">
        <v>68</v>
      </c>
      <c r="B8">
        <f>B7/C7*C8</f>
        <v>4</v>
      </c>
      <c r="C8">
        <v>4</v>
      </c>
    </row>
    <row r="14" spans="1:3" x14ac:dyDescent="0.25">
      <c r="B14" t="s">
        <v>46</v>
      </c>
    </row>
    <row r="16" spans="1:3" x14ac:dyDescent="0.25">
      <c r="A16" t="s">
        <v>53</v>
      </c>
      <c r="B16">
        <v>5</v>
      </c>
      <c r="C16">
        <v>5</v>
      </c>
    </row>
    <row r="17" spans="1:3" x14ac:dyDescent="0.25">
      <c r="A17" t="s">
        <v>54</v>
      </c>
      <c r="B17">
        <v>5</v>
      </c>
      <c r="C17">
        <v>5</v>
      </c>
    </row>
    <row r="18" spans="1:3" x14ac:dyDescent="0.25">
      <c r="A18" t="s">
        <v>55</v>
      </c>
      <c r="B18">
        <v>9.5</v>
      </c>
      <c r="C18">
        <v>10</v>
      </c>
    </row>
    <row r="19" spans="1:3" x14ac:dyDescent="0.25">
      <c r="A19" t="s">
        <v>56</v>
      </c>
      <c r="B19">
        <v>10</v>
      </c>
      <c r="C19">
        <v>10</v>
      </c>
    </row>
    <row r="20" spans="1:3" x14ac:dyDescent="0.25">
      <c r="A20" t="s">
        <v>57</v>
      </c>
      <c r="B20">
        <v>15</v>
      </c>
      <c r="C20">
        <v>15</v>
      </c>
    </row>
    <row r="21" spans="1:3" x14ac:dyDescent="0.25">
      <c r="A21" t="s">
        <v>58</v>
      </c>
      <c r="B21">
        <v>10</v>
      </c>
      <c r="C21">
        <v>10</v>
      </c>
    </row>
    <row r="22" spans="1:3" x14ac:dyDescent="0.25">
      <c r="A22" t="s">
        <v>59</v>
      </c>
      <c r="B22">
        <v>5</v>
      </c>
      <c r="C22">
        <v>5</v>
      </c>
    </row>
    <row r="23" spans="1:3" x14ac:dyDescent="0.25">
      <c r="A23" t="s">
        <v>60</v>
      </c>
      <c r="B23">
        <v>5</v>
      </c>
      <c r="C23">
        <v>5</v>
      </c>
    </row>
    <row r="25" spans="1:3" x14ac:dyDescent="0.25">
      <c r="A25" t="s">
        <v>61</v>
      </c>
      <c r="B25">
        <v>20</v>
      </c>
      <c r="C25">
        <v>20</v>
      </c>
    </row>
    <row r="26" spans="1:3" x14ac:dyDescent="0.25">
      <c r="A26" t="s">
        <v>62</v>
      </c>
      <c r="B26">
        <v>9.5</v>
      </c>
      <c r="C26">
        <v>10</v>
      </c>
    </row>
    <row r="27" spans="1:3" x14ac:dyDescent="0.25">
      <c r="A27" t="s">
        <v>67</v>
      </c>
      <c r="B27">
        <v>5</v>
      </c>
      <c r="C27">
        <v>5</v>
      </c>
    </row>
    <row r="29" spans="1:3" x14ac:dyDescent="0.25">
      <c r="A29" t="s">
        <v>52</v>
      </c>
      <c r="B29">
        <f>SUM(B16:B27)</f>
        <v>99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5DE7-4111-491B-AC6A-3C5D32D736A9}">
  <dimension ref="A1:C29"/>
  <sheetViews>
    <sheetView workbookViewId="0">
      <selection activeCell="B27" sqref="B27"/>
    </sheetView>
  </sheetViews>
  <sheetFormatPr defaultRowHeight="15.75" x14ac:dyDescent="0.25"/>
  <cols>
    <col min="1" max="1" width="22.5" customWidth="1"/>
    <col min="2" max="2" width="11.25" customWidth="1"/>
  </cols>
  <sheetData>
    <row r="1" spans="1:3" x14ac:dyDescent="0.25">
      <c r="A1" t="s">
        <v>66</v>
      </c>
      <c r="B1" t="s">
        <v>47</v>
      </c>
    </row>
    <row r="3" spans="1:3" x14ac:dyDescent="0.25">
      <c r="A3" t="s">
        <v>48</v>
      </c>
      <c r="B3">
        <v>2.5</v>
      </c>
      <c r="C3">
        <v>4</v>
      </c>
    </row>
    <row r="4" spans="1:3" x14ac:dyDescent="0.25">
      <c r="A4" t="s">
        <v>49</v>
      </c>
      <c r="B4">
        <v>2</v>
      </c>
      <c r="C4">
        <v>4</v>
      </c>
    </row>
    <row r="5" spans="1:3" x14ac:dyDescent="0.25">
      <c r="A5" t="s">
        <v>50</v>
      </c>
      <c r="B5">
        <v>2.5</v>
      </c>
      <c r="C5">
        <v>4</v>
      </c>
    </row>
    <row r="7" spans="1:3" x14ac:dyDescent="0.25">
      <c r="A7" t="s">
        <v>52</v>
      </c>
      <c r="B7">
        <f>SUM(B3:B6)</f>
        <v>7</v>
      </c>
      <c r="C7">
        <f>SUM(C3:C6)</f>
        <v>12</v>
      </c>
    </row>
    <row r="8" spans="1:3" x14ac:dyDescent="0.25">
      <c r="A8" t="s">
        <v>68</v>
      </c>
      <c r="B8">
        <f>B7/C7*C8</f>
        <v>2.3333333333333335</v>
      </c>
      <c r="C8">
        <v>4</v>
      </c>
    </row>
    <row r="14" spans="1:3" x14ac:dyDescent="0.25">
      <c r="B14" t="s">
        <v>46</v>
      </c>
    </row>
    <row r="16" spans="1:3" x14ac:dyDescent="0.25">
      <c r="A16" t="s">
        <v>53</v>
      </c>
      <c r="B16">
        <v>4</v>
      </c>
      <c r="C16">
        <v>5</v>
      </c>
    </row>
    <row r="17" spans="1:3" x14ac:dyDescent="0.25">
      <c r="A17" t="s">
        <v>54</v>
      </c>
      <c r="B17">
        <v>3</v>
      </c>
      <c r="C17">
        <v>5</v>
      </c>
    </row>
    <row r="18" spans="1:3" x14ac:dyDescent="0.25">
      <c r="A18" t="s">
        <v>55</v>
      </c>
      <c r="B18">
        <v>6</v>
      </c>
      <c r="C18">
        <v>10</v>
      </c>
    </row>
    <row r="19" spans="1:3" x14ac:dyDescent="0.25">
      <c r="A19" t="s">
        <v>56</v>
      </c>
      <c r="B19">
        <v>7</v>
      </c>
      <c r="C19">
        <v>10</v>
      </c>
    </row>
    <row r="20" spans="1:3" x14ac:dyDescent="0.25">
      <c r="A20" t="s">
        <v>57</v>
      </c>
      <c r="B20">
        <v>8</v>
      </c>
      <c r="C20">
        <v>15</v>
      </c>
    </row>
    <row r="21" spans="1:3" x14ac:dyDescent="0.25">
      <c r="A21" t="s">
        <v>58</v>
      </c>
      <c r="B21">
        <v>8</v>
      </c>
      <c r="C21">
        <v>10</v>
      </c>
    </row>
    <row r="22" spans="1:3" x14ac:dyDescent="0.25">
      <c r="A22" t="s">
        <v>59</v>
      </c>
      <c r="B22">
        <v>5</v>
      </c>
      <c r="C22">
        <v>5</v>
      </c>
    </row>
    <row r="23" spans="1:3" x14ac:dyDescent="0.25">
      <c r="A23" t="s">
        <v>60</v>
      </c>
      <c r="B23">
        <v>3</v>
      </c>
      <c r="C23">
        <v>5</v>
      </c>
    </row>
    <row r="25" spans="1:3" x14ac:dyDescent="0.25">
      <c r="A25" t="s">
        <v>61</v>
      </c>
      <c r="B25">
        <v>15</v>
      </c>
      <c r="C25">
        <v>20</v>
      </c>
    </row>
    <row r="26" spans="1:3" x14ac:dyDescent="0.25">
      <c r="A26" t="s">
        <v>62</v>
      </c>
      <c r="B26">
        <v>8</v>
      </c>
      <c r="C26">
        <v>10</v>
      </c>
    </row>
    <row r="27" spans="1:3" x14ac:dyDescent="0.25">
      <c r="A27" t="s">
        <v>67</v>
      </c>
      <c r="B27">
        <v>3</v>
      </c>
      <c r="C27">
        <v>5</v>
      </c>
    </row>
    <row r="29" spans="1:3" x14ac:dyDescent="0.25">
      <c r="A29" t="s">
        <v>52</v>
      </c>
      <c r="B29">
        <f>SUM(B16:B27)</f>
        <v>70</v>
      </c>
      <c r="C29">
        <f>SUM(C16:C27)</f>
        <v>100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</vt:lpstr>
      <vt:lpstr>Group 1</vt:lpstr>
      <vt:lpstr>Group 2</vt:lpstr>
      <vt:lpstr>Group 3</vt:lpstr>
      <vt:lpstr>Group 4</vt:lpstr>
      <vt:lpstr>Group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Nate</cp:lastModifiedBy>
  <dcterms:created xsi:type="dcterms:W3CDTF">2021-09-03T15:43:20Z</dcterms:created>
  <dcterms:modified xsi:type="dcterms:W3CDTF">2021-12-28T02:18:51Z</dcterms:modified>
</cp:coreProperties>
</file>