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Teaching\Classes\Math 243\Fall 2021\course-materials\Grades\"/>
    </mc:Choice>
  </mc:AlternateContent>
  <xr:revisionPtr revIDLastSave="0" documentId="13_ncr:1_{C51011E2-11E2-431E-8E4E-3D1859AB04EB}" xr6:coauthVersionLast="47" xr6:coauthVersionMax="47" xr10:uidLastSave="{00000000-0000-0000-0000-000000000000}"/>
  <bookViews>
    <workbookView xWindow="21825" yWindow="1200" windowWidth="23745" windowHeight="15330" xr2:uid="{E2B26994-3EE5-964D-9F2F-EA1665179E5C}"/>
  </bookViews>
  <sheets>
    <sheet name="Grades" sheetId="1" r:id="rId1"/>
    <sheet name="Group 1" sheetId="2" r:id="rId2"/>
    <sheet name="Group 2" sheetId="3" r:id="rId3"/>
    <sheet name="Group 3" sheetId="4" r:id="rId4"/>
    <sheet name="Group 4" sheetId="5" r:id="rId5"/>
    <sheet name="Group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C29" i="5"/>
  <c r="C29" i="4"/>
  <c r="C29" i="3"/>
  <c r="C29" i="2"/>
  <c r="B8" i="6"/>
  <c r="B8" i="5"/>
  <c r="B8" i="4"/>
  <c r="B8" i="3"/>
  <c r="B7" i="6"/>
  <c r="B7" i="5"/>
  <c r="B7" i="4"/>
  <c r="B7" i="3"/>
  <c r="B7" i="2"/>
  <c r="B8" i="2" s="1"/>
  <c r="C7" i="6"/>
  <c r="C7" i="5"/>
  <c r="C7" i="4"/>
  <c r="C7" i="3"/>
  <c r="C7" i="2"/>
</calcChain>
</file>

<file path=xl/sharedStrings.xml><?xml version="1.0" encoding="utf-8"?>
<sst xmlns="http://schemas.openxmlformats.org/spreadsheetml/2006/main" count="148" uniqueCount="73">
  <si>
    <t>reed_id</t>
  </si>
  <si>
    <t>last_name</t>
  </si>
  <si>
    <t>S74797</t>
  </si>
  <si>
    <t>Ahn</t>
  </si>
  <si>
    <t>Simon</t>
  </si>
  <si>
    <t>Beeman-Weber</t>
  </si>
  <si>
    <t>Calvin</t>
  </si>
  <si>
    <t>Blair</t>
  </si>
  <si>
    <t>Taylor</t>
  </si>
  <si>
    <t>Buggana</t>
  </si>
  <si>
    <t>Rohan</t>
  </si>
  <si>
    <t>Burton-Heckman</t>
  </si>
  <si>
    <t>Kenai</t>
  </si>
  <si>
    <t>S81138</t>
  </si>
  <si>
    <t>Caldwell</t>
  </si>
  <si>
    <t>Isabelle</t>
  </si>
  <si>
    <t>A42231</t>
  </si>
  <si>
    <t>DeVries</t>
  </si>
  <si>
    <t>Jon</t>
  </si>
  <si>
    <t>Hardwick</t>
  </si>
  <si>
    <t>Robin</t>
  </si>
  <si>
    <t>Khurana</t>
  </si>
  <si>
    <t>Bhavjot</t>
  </si>
  <si>
    <t>S74039</t>
  </si>
  <si>
    <t>Krishnamurthy</t>
  </si>
  <si>
    <t>Rishi</t>
  </si>
  <si>
    <t>S76304</t>
  </si>
  <si>
    <t>Krishnan</t>
  </si>
  <si>
    <t>Ananke</t>
  </si>
  <si>
    <t>S54930</t>
  </si>
  <si>
    <t>McGinnis</t>
  </si>
  <si>
    <t>Gillian</t>
  </si>
  <si>
    <t>Peterson</t>
  </si>
  <si>
    <t>Sky</t>
  </si>
  <si>
    <t>A56373</t>
  </si>
  <si>
    <t>Qin</t>
  </si>
  <si>
    <t>Tina</t>
  </si>
  <si>
    <t>S82159</t>
  </si>
  <si>
    <t>Shimer</t>
  </si>
  <si>
    <t>Jakob</t>
  </si>
  <si>
    <t>Thoron</t>
  </si>
  <si>
    <t>Emma</t>
  </si>
  <si>
    <t>VanLandschoot</t>
  </si>
  <si>
    <t>Maxwell</t>
  </si>
  <si>
    <t>first_name</t>
  </si>
  <si>
    <t>Group</t>
  </si>
  <si>
    <t>Report</t>
  </si>
  <si>
    <t>Presentation</t>
  </si>
  <si>
    <t>Column1</t>
  </si>
  <si>
    <t>Column2</t>
  </si>
  <si>
    <t>Column3</t>
  </si>
  <si>
    <t>Column4</t>
  </si>
  <si>
    <t>Column5</t>
  </si>
  <si>
    <t>Content</t>
  </si>
  <si>
    <t>Style</t>
  </si>
  <si>
    <t>Analysis</t>
  </si>
  <si>
    <t>Requirements</t>
  </si>
  <si>
    <t>Group 1</t>
  </si>
  <si>
    <t>Total</t>
  </si>
  <si>
    <t>Abstract</t>
  </si>
  <si>
    <t>Introduction</t>
  </si>
  <si>
    <t>Methods</t>
  </si>
  <si>
    <t>EDA</t>
  </si>
  <si>
    <t>Results</t>
  </si>
  <si>
    <t>Discussion</t>
  </si>
  <si>
    <t>Code</t>
  </si>
  <si>
    <t>References</t>
  </si>
  <si>
    <t>Grammar, Language, Style</t>
  </si>
  <si>
    <t>Visualizations</t>
  </si>
  <si>
    <t>Group 3</t>
  </si>
  <si>
    <t>Group 2</t>
  </si>
  <si>
    <t>Group 4</t>
  </si>
  <si>
    <t>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</si>
</sst>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5085B-43A2-614E-8C55-2D866D6F2BB9}" name="Table2" displayName="Table2" ref="A1:K18" totalsRowShown="0">
  <autoFilter ref="A1:K18" xr:uid="{F795085B-43A2-614E-8C55-2D866D6F2BB9}"/>
  <sortState xmlns:xlrd2="http://schemas.microsoft.com/office/spreadsheetml/2017/richdata2" ref="A2:G18">
    <sortCondition ref="D1:D18"/>
  </sortState>
  <tableColumns count="11">
    <tableColumn id="1" xr3:uid="{77F8F90F-5C8E-BC4C-B545-FA75B259CA8F}" name="reed_id"/>
    <tableColumn id="2" xr3:uid="{7146B570-825A-7D4C-890F-90E736404710}" name="last_name"/>
    <tableColumn id="3" xr3:uid="{D61C3733-DDE0-7A4F-8F95-3BE6FC83489B}" name="first_name"/>
    <tableColumn id="4" xr3:uid="{C524DDEB-2F3A-3448-9786-159474E2DF2D}" name="Group"/>
    <tableColumn id="5" xr3:uid="{A435395F-A4DA-0145-9160-A4A3311B3E8F}" name="Presentation" dataCellStyle="Percent"/>
    <tableColumn id="7" xr3:uid="{9C711AC8-5787-4B9B-BED7-32D1D807C96B}" name="Report" dataDxfId="1" dataCellStyle="Percent"/>
    <tableColumn id="8" xr3:uid="{712BDCE5-7056-42A5-8A55-E2FA1A67C2D3}" name="Column1" dataDxfId="0" dataCellStyle="Percent"/>
    <tableColumn id="6" xr3:uid="{CC13EEC9-CABF-4505-91A8-BF1D9DDD3078}" name="Column2"/>
    <tableColumn id="9" xr3:uid="{BEC4CEA0-4812-4DC8-AC38-72324E5811F7}" name="Column3"/>
    <tableColumn id="10" xr3:uid="{7DC7BB7E-0A10-487D-9C2D-8EF8B6D2AF80}" name="Column4"/>
    <tableColumn id="11" xr3:uid="{98B12ADF-D418-498C-AA3B-FC72D4DD210B}" name="Column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09FD-2083-5844-BEDB-30F87C39EC3C}">
  <dimension ref="A1:K27"/>
  <sheetViews>
    <sheetView tabSelected="1" zoomScale="140" zoomScaleNormal="140" workbookViewId="0">
      <selection activeCell="E19" sqref="E19"/>
    </sheetView>
  </sheetViews>
  <sheetFormatPr defaultColWidth="11" defaultRowHeight="15.75" x14ac:dyDescent="0.25"/>
  <cols>
    <col min="2" max="2" width="12.125" customWidth="1"/>
    <col min="3" max="3" width="12.5" customWidth="1"/>
  </cols>
  <sheetData>
    <row r="1" spans="1:11" x14ac:dyDescent="0.25">
      <c r="A1" t="s">
        <v>0</v>
      </c>
      <c r="B1" t="s">
        <v>1</v>
      </c>
      <c r="C1" t="s">
        <v>44</v>
      </c>
      <c r="D1" s="1" t="s">
        <v>45</v>
      </c>
      <c r="E1" s="1" t="s">
        <v>47</v>
      </c>
      <c r="F1" s="1" t="s">
        <v>46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 x14ac:dyDescent="0.25">
      <c r="A2">
        <v>20008352</v>
      </c>
      <c r="B2" t="s">
        <v>42</v>
      </c>
      <c r="C2" t="s">
        <v>43</v>
      </c>
      <c r="D2">
        <v>1</v>
      </c>
      <c r="E2" s="2">
        <v>0.91</v>
      </c>
      <c r="F2" s="4"/>
      <c r="G2" s="3"/>
    </row>
    <row r="3" spans="1:11" x14ac:dyDescent="0.25">
      <c r="A3">
        <v>20010417</v>
      </c>
      <c r="B3" t="s">
        <v>19</v>
      </c>
      <c r="C3" t="s">
        <v>20</v>
      </c>
      <c r="D3">
        <v>1</v>
      </c>
      <c r="E3" s="2">
        <v>0.91</v>
      </c>
      <c r="F3" s="4"/>
      <c r="G3" s="3"/>
    </row>
    <row r="4" spans="1:11" x14ac:dyDescent="0.25">
      <c r="A4" t="s">
        <v>2</v>
      </c>
      <c r="B4" t="s">
        <v>3</v>
      </c>
      <c r="C4" t="s">
        <v>4</v>
      </c>
      <c r="D4">
        <v>1</v>
      </c>
      <c r="E4" s="2">
        <v>0.91</v>
      </c>
      <c r="F4" s="4"/>
      <c r="G4" s="3"/>
    </row>
    <row r="5" spans="1:11" x14ac:dyDescent="0.25">
      <c r="A5">
        <v>20013614</v>
      </c>
      <c r="B5" t="s">
        <v>7</v>
      </c>
      <c r="C5" t="s">
        <v>8</v>
      </c>
      <c r="D5">
        <v>1</v>
      </c>
      <c r="E5" s="2">
        <v>0.91</v>
      </c>
      <c r="F5" s="4"/>
      <c r="G5" s="3"/>
    </row>
    <row r="6" spans="1:11" x14ac:dyDescent="0.25">
      <c r="A6">
        <v>20009766</v>
      </c>
      <c r="B6" t="s">
        <v>5</v>
      </c>
      <c r="C6" t="s">
        <v>6</v>
      </c>
      <c r="D6">
        <v>2</v>
      </c>
      <c r="E6" s="2">
        <v>0.93</v>
      </c>
      <c r="F6" s="4"/>
      <c r="G6" s="3"/>
    </row>
    <row r="7" spans="1:11" x14ac:dyDescent="0.25">
      <c r="A7">
        <v>20005442</v>
      </c>
      <c r="B7" t="s">
        <v>40</v>
      </c>
      <c r="C7" t="s">
        <v>41</v>
      </c>
      <c r="D7">
        <v>2</v>
      </c>
      <c r="E7" s="2">
        <v>0.93</v>
      </c>
      <c r="F7" s="4"/>
      <c r="G7" s="3"/>
    </row>
    <row r="8" spans="1:11" x14ac:dyDescent="0.25">
      <c r="A8" t="s">
        <v>37</v>
      </c>
      <c r="B8" t="s">
        <v>38</v>
      </c>
      <c r="C8" t="s">
        <v>39</v>
      </c>
      <c r="D8">
        <v>2</v>
      </c>
      <c r="E8" s="2">
        <v>0.93</v>
      </c>
      <c r="F8" s="4"/>
      <c r="G8" s="3"/>
    </row>
    <row r="9" spans="1:11" x14ac:dyDescent="0.25">
      <c r="A9">
        <v>20010981</v>
      </c>
      <c r="B9" t="s">
        <v>32</v>
      </c>
      <c r="C9" t="s">
        <v>33</v>
      </c>
      <c r="D9">
        <v>2</v>
      </c>
      <c r="E9" s="2">
        <v>0.93</v>
      </c>
      <c r="F9" s="4"/>
      <c r="G9" s="3"/>
    </row>
    <row r="10" spans="1:11" x14ac:dyDescent="0.25">
      <c r="A10" t="s">
        <v>26</v>
      </c>
      <c r="B10" t="s">
        <v>27</v>
      </c>
      <c r="C10" t="s">
        <v>28</v>
      </c>
      <c r="D10">
        <v>3</v>
      </c>
      <c r="E10" s="2">
        <v>0.9</v>
      </c>
      <c r="F10" s="4"/>
      <c r="G10" s="3"/>
    </row>
    <row r="11" spans="1:11" x14ac:dyDescent="0.25">
      <c r="A11" t="s">
        <v>29</v>
      </c>
      <c r="B11" t="s">
        <v>30</v>
      </c>
      <c r="C11" t="s">
        <v>31</v>
      </c>
      <c r="D11">
        <v>3</v>
      </c>
      <c r="E11" s="2">
        <v>0.9</v>
      </c>
      <c r="F11" s="4"/>
      <c r="G11" s="3"/>
    </row>
    <row r="12" spans="1:11" x14ac:dyDescent="0.25">
      <c r="A12" t="s">
        <v>13</v>
      </c>
      <c r="B12" t="s">
        <v>14</v>
      </c>
      <c r="C12" t="s">
        <v>15</v>
      </c>
      <c r="D12">
        <v>3</v>
      </c>
      <c r="E12" s="2">
        <v>0.9</v>
      </c>
      <c r="F12" s="4"/>
      <c r="G12" s="3"/>
    </row>
    <row r="13" spans="1:11" x14ac:dyDescent="0.25">
      <c r="A13">
        <v>20016821</v>
      </c>
      <c r="B13" t="s">
        <v>11</v>
      </c>
      <c r="C13" t="s">
        <v>12</v>
      </c>
      <c r="D13">
        <v>4</v>
      </c>
      <c r="E13" s="2">
        <v>1</v>
      </c>
      <c r="F13" s="4"/>
      <c r="G13" s="3"/>
    </row>
    <row r="14" spans="1:11" x14ac:dyDescent="0.25">
      <c r="A14" t="s">
        <v>23</v>
      </c>
      <c r="B14" t="s">
        <v>24</v>
      </c>
      <c r="C14" t="s">
        <v>25</v>
      </c>
      <c r="D14">
        <v>4</v>
      </c>
      <c r="E14" s="2">
        <v>1</v>
      </c>
      <c r="F14" s="4"/>
      <c r="G14" s="3"/>
    </row>
    <row r="15" spans="1:11" x14ac:dyDescent="0.25">
      <c r="A15" t="s">
        <v>34</v>
      </c>
      <c r="B15" t="s">
        <v>35</v>
      </c>
      <c r="C15" t="s">
        <v>36</v>
      </c>
      <c r="D15">
        <v>4</v>
      </c>
      <c r="E15" s="2">
        <v>1</v>
      </c>
      <c r="F15" s="4"/>
      <c r="G15" s="3"/>
    </row>
    <row r="16" spans="1:11" x14ac:dyDescent="0.25">
      <c r="A16">
        <v>20007907</v>
      </c>
      <c r="B16" t="s">
        <v>21</v>
      </c>
      <c r="C16" t="s">
        <v>22</v>
      </c>
      <c r="D16">
        <v>5</v>
      </c>
      <c r="E16" s="2">
        <v>0.8</v>
      </c>
      <c r="F16" s="4"/>
      <c r="G16" s="3"/>
    </row>
    <row r="17" spans="1:7" x14ac:dyDescent="0.25">
      <c r="A17" t="s">
        <v>16</v>
      </c>
      <c r="B17" t="s">
        <v>17</v>
      </c>
      <c r="C17" t="s">
        <v>18</v>
      </c>
      <c r="D17">
        <v>5</v>
      </c>
      <c r="E17" s="2">
        <v>0.8</v>
      </c>
      <c r="F17" s="4"/>
      <c r="G17" s="3"/>
    </row>
    <row r="18" spans="1:7" x14ac:dyDescent="0.25">
      <c r="A18">
        <v>20016819</v>
      </c>
      <c r="B18" t="s">
        <v>9</v>
      </c>
      <c r="C18" t="s">
        <v>10</v>
      </c>
      <c r="D18">
        <v>5</v>
      </c>
      <c r="E18" s="2">
        <v>0.8</v>
      </c>
      <c r="F18" s="4"/>
      <c r="G18" s="3"/>
    </row>
    <row r="19" spans="1:7" x14ac:dyDescent="0.25">
      <c r="F19" s="5"/>
    </row>
    <row r="20" spans="1:7" x14ac:dyDescent="0.25">
      <c r="E20" s="2"/>
      <c r="F20" s="4"/>
      <c r="G20" s="2"/>
    </row>
    <row r="21" spans="1:7" x14ac:dyDescent="0.25">
      <c r="E21" s="2"/>
      <c r="F21" s="4"/>
      <c r="G21" s="2"/>
    </row>
    <row r="22" spans="1:7" x14ac:dyDescent="0.25">
      <c r="E22" s="2"/>
      <c r="F22" s="4"/>
      <c r="G22" s="2"/>
    </row>
    <row r="23" spans="1:7" x14ac:dyDescent="0.25">
      <c r="E23" s="2"/>
      <c r="F23" s="4"/>
      <c r="G23" s="2"/>
    </row>
    <row r="24" spans="1:7" x14ac:dyDescent="0.25">
      <c r="E24" s="2"/>
      <c r="F24" s="4"/>
      <c r="G24" s="2"/>
    </row>
    <row r="25" spans="1:7" x14ac:dyDescent="0.25">
      <c r="E25" s="2"/>
      <c r="F25" s="4"/>
      <c r="G25" s="2"/>
    </row>
    <row r="26" spans="1:7" x14ac:dyDescent="0.25">
      <c r="E26" s="2"/>
      <c r="F26" s="4"/>
      <c r="G26" s="2"/>
    </row>
    <row r="27" spans="1:7" x14ac:dyDescent="0.25">
      <c r="F27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7858-D3E6-4A5D-BD60-07AB48F639FB}">
  <dimension ref="A1:C29"/>
  <sheetViews>
    <sheetView workbookViewId="0">
      <selection activeCell="F15" sqref="F15"/>
    </sheetView>
  </sheetViews>
  <sheetFormatPr defaultRowHeight="15.75" x14ac:dyDescent="0.25"/>
  <cols>
    <col min="1" max="1" width="21.75" customWidth="1"/>
  </cols>
  <sheetData>
    <row r="1" spans="1:3" x14ac:dyDescent="0.25">
      <c r="A1" t="s">
        <v>57</v>
      </c>
      <c r="B1" t="s">
        <v>47</v>
      </c>
    </row>
    <row r="3" spans="1:3" x14ac:dyDescent="0.25">
      <c r="A3" t="s">
        <v>53</v>
      </c>
      <c r="B3">
        <v>4</v>
      </c>
      <c r="C3">
        <v>4</v>
      </c>
    </row>
    <row r="4" spans="1:3" x14ac:dyDescent="0.25">
      <c r="A4" t="s">
        <v>54</v>
      </c>
      <c r="B4">
        <v>4</v>
      </c>
      <c r="C4">
        <v>4</v>
      </c>
    </row>
    <row r="5" spans="1:3" x14ac:dyDescent="0.25">
      <c r="A5" t="s">
        <v>55</v>
      </c>
      <c r="B5">
        <v>3</v>
      </c>
      <c r="C5">
        <v>4</v>
      </c>
    </row>
    <row r="6" spans="1:3" x14ac:dyDescent="0.25">
      <c r="A6" t="s">
        <v>56</v>
      </c>
      <c r="B6">
        <v>3</v>
      </c>
      <c r="C6">
        <v>3</v>
      </c>
    </row>
    <row r="7" spans="1:3" x14ac:dyDescent="0.25">
      <c r="A7" t="s">
        <v>58</v>
      </c>
      <c r="B7">
        <f>SUM(B3:B6)</f>
        <v>14</v>
      </c>
      <c r="C7">
        <f>SUM(C3:C6)</f>
        <v>15</v>
      </c>
    </row>
    <row r="8" spans="1:3" x14ac:dyDescent="0.25">
      <c r="B8">
        <f>B7/C7*C8</f>
        <v>3.7333333333333334</v>
      </c>
      <c r="C8">
        <v>4</v>
      </c>
    </row>
    <row r="14" spans="1:3" x14ac:dyDescent="0.25">
      <c r="B14" t="s">
        <v>46</v>
      </c>
    </row>
    <row r="16" spans="1:3" x14ac:dyDescent="0.25">
      <c r="A16" t="s">
        <v>59</v>
      </c>
      <c r="C16">
        <v>5</v>
      </c>
    </row>
    <row r="17" spans="1:3" x14ac:dyDescent="0.25">
      <c r="A17" t="s">
        <v>60</v>
      </c>
      <c r="C17">
        <v>10</v>
      </c>
    </row>
    <row r="18" spans="1:3" x14ac:dyDescent="0.25">
      <c r="A18" t="s">
        <v>61</v>
      </c>
      <c r="C18">
        <v>10</v>
      </c>
    </row>
    <row r="19" spans="1:3" x14ac:dyDescent="0.25">
      <c r="A19" t="s">
        <v>62</v>
      </c>
      <c r="C19">
        <v>10</v>
      </c>
    </row>
    <row r="20" spans="1:3" x14ac:dyDescent="0.25">
      <c r="A20" t="s">
        <v>63</v>
      </c>
      <c r="C20">
        <v>15</v>
      </c>
    </row>
    <row r="21" spans="1:3" x14ac:dyDescent="0.25">
      <c r="A21" t="s">
        <v>64</v>
      </c>
      <c r="C21">
        <v>10</v>
      </c>
    </row>
    <row r="22" spans="1:3" x14ac:dyDescent="0.25">
      <c r="A22" t="s">
        <v>65</v>
      </c>
      <c r="C22">
        <v>5</v>
      </c>
    </row>
    <row r="23" spans="1:3" x14ac:dyDescent="0.25">
      <c r="A23" t="s">
        <v>66</v>
      </c>
      <c r="C23">
        <v>5</v>
      </c>
    </row>
    <row r="25" spans="1:3" x14ac:dyDescent="0.25">
      <c r="A25" t="s">
        <v>67</v>
      </c>
      <c r="C25">
        <v>20</v>
      </c>
    </row>
    <row r="26" spans="1:3" x14ac:dyDescent="0.25">
      <c r="A26" t="s">
        <v>68</v>
      </c>
      <c r="C26">
        <v>10</v>
      </c>
    </row>
    <row r="29" spans="1:3" x14ac:dyDescent="0.25">
      <c r="A29" t="s">
        <v>58</v>
      </c>
      <c r="C29">
        <f>SUM(C16:C27)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9F91-6780-4BE4-86FA-CEEB9E8050AF}">
  <dimension ref="A1:C29"/>
  <sheetViews>
    <sheetView workbookViewId="0">
      <selection activeCell="B14" sqref="B14"/>
    </sheetView>
  </sheetViews>
  <sheetFormatPr defaultRowHeight="15.75" x14ac:dyDescent="0.25"/>
  <cols>
    <col min="1" max="1" width="21.5" customWidth="1"/>
  </cols>
  <sheetData>
    <row r="1" spans="1:3" x14ac:dyDescent="0.25">
      <c r="A1" t="s">
        <v>70</v>
      </c>
      <c r="B1" t="s">
        <v>47</v>
      </c>
    </row>
    <row r="3" spans="1:3" x14ac:dyDescent="0.25">
      <c r="A3" t="s">
        <v>53</v>
      </c>
      <c r="B3">
        <v>4</v>
      </c>
      <c r="C3">
        <v>4</v>
      </c>
    </row>
    <row r="4" spans="1:3" x14ac:dyDescent="0.25">
      <c r="A4" t="s">
        <v>54</v>
      </c>
      <c r="B4">
        <v>4</v>
      </c>
      <c r="C4">
        <v>4</v>
      </c>
    </row>
    <row r="5" spans="1:3" x14ac:dyDescent="0.25">
      <c r="A5" t="s">
        <v>55</v>
      </c>
      <c r="B5">
        <v>3.5</v>
      </c>
      <c r="C5">
        <v>4</v>
      </c>
    </row>
    <row r="6" spans="1:3" x14ac:dyDescent="0.25">
      <c r="A6" t="s">
        <v>56</v>
      </c>
      <c r="B6">
        <v>3</v>
      </c>
      <c r="C6">
        <v>3</v>
      </c>
    </row>
    <row r="7" spans="1:3" x14ac:dyDescent="0.25">
      <c r="A7" t="s">
        <v>58</v>
      </c>
      <c r="B7">
        <f>SUM(B3:B6)</f>
        <v>14.5</v>
      </c>
      <c r="C7">
        <f>SUM(C3:C6)</f>
        <v>15</v>
      </c>
    </row>
    <row r="8" spans="1:3" x14ac:dyDescent="0.25">
      <c r="B8">
        <f>B7/C7*C8</f>
        <v>3.8666666666666667</v>
      </c>
      <c r="C8">
        <v>4</v>
      </c>
    </row>
    <row r="14" spans="1:3" x14ac:dyDescent="0.25">
      <c r="B14" t="s">
        <v>46</v>
      </c>
    </row>
    <row r="16" spans="1:3" x14ac:dyDescent="0.25">
      <c r="A16" t="s">
        <v>59</v>
      </c>
      <c r="C16">
        <v>5</v>
      </c>
    </row>
    <row r="17" spans="1:3" x14ac:dyDescent="0.25">
      <c r="A17" t="s">
        <v>60</v>
      </c>
      <c r="C17">
        <v>10</v>
      </c>
    </row>
    <row r="18" spans="1:3" x14ac:dyDescent="0.25">
      <c r="A18" t="s">
        <v>61</v>
      </c>
      <c r="C18">
        <v>10</v>
      </c>
    </row>
    <row r="19" spans="1:3" x14ac:dyDescent="0.25">
      <c r="A19" t="s">
        <v>62</v>
      </c>
      <c r="C19">
        <v>10</v>
      </c>
    </row>
    <row r="20" spans="1:3" x14ac:dyDescent="0.25">
      <c r="A20" t="s">
        <v>63</v>
      </c>
      <c r="C20">
        <v>15</v>
      </c>
    </row>
    <row r="21" spans="1:3" x14ac:dyDescent="0.25">
      <c r="A21" t="s">
        <v>64</v>
      </c>
      <c r="C21">
        <v>10</v>
      </c>
    </row>
    <row r="22" spans="1:3" x14ac:dyDescent="0.25">
      <c r="A22" t="s">
        <v>65</v>
      </c>
      <c r="C22">
        <v>5</v>
      </c>
    </row>
    <row r="23" spans="1:3" x14ac:dyDescent="0.25">
      <c r="A23" t="s">
        <v>66</v>
      </c>
      <c r="C23">
        <v>5</v>
      </c>
    </row>
    <row r="25" spans="1:3" x14ac:dyDescent="0.25">
      <c r="A25" t="s">
        <v>67</v>
      </c>
      <c r="C25">
        <v>20</v>
      </c>
    </row>
    <row r="26" spans="1:3" x14ac:dyDescent="0.25">
      <c r="A26" t="s">
        <v>68</v>
      </c>
      <c r="C26">
        <v>10</v>
      </c>
    </row>
    <row r="29" spans="1:3" x14ac:dyDescent="0.25">
      <c r="A29" t="s">
        <v>58</v>
      </c>
      <c r="C29">
        <f>SUM(C16:C27)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8F79-884B-4CAD-9BB6-E35CC4E42E42}">
  <dimension ref="A1:C29"/>
  <sheetViews>
    <sheetView workbookViewId="0">
      <selection activeCell="B14" sqref="B14"/>
    </sheetView>
  </sheetViews>
  <sheetFormatPr defaultRowHeight="15.75" x14ac:dyDescent="0.25"/>
  <cols>
    <col min="1" max="1" width="20.625" customWidth="1"/>
  </cols>
  <sheetData>
    <row r="1" spans="1:3" x14ac:dyDescent="0.25">
      <c r="A1" t="s">
        <v>69</v>
      </c>
      <c r="B1" t="s">
        <v>47</v>
      </c>
    </row>
    <row r="3" spans="1:3" x14ac:dyDescent="0.25">
      <c r="A3" t="s">
        <v>53</v>
      </c>
      <c r="B3">
        <v>3.5</v>
      </c>
      <c r="C3">
        <v>4</v>
      </c>
    </row>
    <row r="4" spans="1:3" x14ac:dyDescent="0.25">
      <c r="A4" t="s">
        <v>54</v>
      </c>
      <c r="B4">
        <v>4</v>
      </c>
      <c r="C4">
        <v>4</v>
      </c>
    </row>
    <row r="5" spans="1:3" x14ac:dyDescent="0.25">
      <c r="A5" t="s">
        <v>55</v>
      </c>
      <c r="B5">
        <v>3</v>
      </c>
      <c r="C5">
        <v>4</v>
      </c>
    </row>
    <row r="6" spans="1:3" x14ac:dyDescent="0.25">
      <c r="A6" t="s">
        <v>56</v>
      </c>
      <c r="B6">
        <v>3</v>
      </c>
      <c r="C6">
        <v>3</v>
      </c>
    </row>
    <row r="7" spans="1:3" x14ac:dyDescent="0.25">
      <c r="A7" t="s">
        <v>58</v>
      </c>
      <c r="B7">
        <f>SUM(B3:B6)</f>
        <v>13.5</v>
      </c>
      <c r="C7">
        <f>SUM(C3:C6)</f>
        <v>15</v>
      </c>
    </row>
    <row r="8" spans="1:3" x14ac:dyDescent="0.25">
      <c r="B8">
        <f>B7/C7*C8</f>
        <v>3.6</v>
      </c>
      <c r="C8">
        <v>4</v>
      </c>
    </row>
    <row r="14" spans="1:3" x14ac:dyDescent="0.25">
      <c r="B14" t="s">
        <v>46</v>
      </c>
    </row>
    <row r="16" spans="1:3" x14ac:dyDescent="0.25">
      <c r="A16" t="s">
        <v>59</v>
      </c>
      <c r="C16">
        <v>5</v>
      </c>
    </row>
    <row r="17" spans="1:3" x14ac:dyDescent="0.25">
      <c r="A17" t="s">
        <v>60</v>
      </c>
      <c r="C17">
        <v>10</v>
      </c>
    </row>
    <row r="18" spans="1:3" x14ac:dyDescent="0.25">
      <c r="A18" t="s">
        <v>61</v>
      </c>
      <c r="C18">
        <v>10</v>
      </c>
    </row>
    <row r="19" spans="1:3" x14ac:dyDescent="0.25">
      <c r="A19" t="s">
        <v>62</v>
      </c>
      <c r="C19">
        <v>10</v>
      </c>
    </row>
    <row r="20" spans="1:3" x14ac:dyDescent="0.25">
      <c r="A20" t="s">
        <v>63</v>
      </c>
      <c r="C20">
        <v>15</v>
      </c>
    </row>
    <row r="21" spans="1:3" x14ac:dyDescent="0.25">
      <c r="A21" t="s">
        <v>64</v>
      </c>
      <c r="C21">
        <v>10</v>
      </c>
    </row>
    <row r="22" spans="1:3" x14ac:dyDescent="0.25">
      <c r="A22" t="s">
        <v>65</v>
      </c>
      <c r="C22">
        <v>5</v>
      </c>
    </row>
    <row r="23" spans="1:3" x14ac:dyDescent="0.25">
      <c r="A23" t="s">
        <v>66</v>
      </c>
      <c r="C23">
        <v>5</v>
      </c>
    </row>
    <row r="25" spans="1:3" x14ac:dyDescent="0.25">
      <c r="A25" t="s">
        <v>67</v>
      </c>
      <c r="C25">
        <v>20</v>
      </c>
    </row>
    <row r="26" spans="1:3" x14ac:dyDescent="0.25">
      <c r="A26" t="s">
        <v>68</v>
      </c>
      <c r="C26">
        <v>10</v>
      </c>
    </row>
    <row r="29" spans="1:3" x14ac:dyDescent="0.25">
      <c r="A29" t="s">
        <v>58</v>
      </c>
      <c r="C29">
        <f>SUM(C16:C27)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CFB1-A5DB-42F3-AF86-7FDCBE37BF23}">
  <dimension ref="A1:C29"/>
  <sheetViews>
    <sheetView workbookViewId="0">
      <selection activeCell="A16" sqref="A16:C29"/>
    </sheetView>
  </sheetViews>
  <sheetFormatPr defaultRowHeight="15.75" x14ac:dyDescent="0.25"/>
  <cols>
    <col min="1" max="1" width="21.5" customWidth="1"/>
  </cols>
  <sheetData>
    <row r="1" spans="1:3" x14ac:dyDescent="0.25">
      <c r="A1" t="s">
        <v>71</v>
      </c>
      <c r="B1" t="s">
        <v>47</v>
      </c>
    </row>
    <row r="3" spans="1:3" x14ac:dyDescent="0.25">
      <c r="A3" t="s">
        <v>53</v>
      </c>
      <c r="B3">
        <v>4</v>
      </c>
      <c r="C3">
        <v>4</v>
      </c>
    </row>
    <row r="4" spans="1:3" x14ac:dyDescent="0.25">
      <c r="A4" t="s">
        <v>54</v>
      </c>
      <c r="B4">
        <v>4</v>
      </c>
      <c r="C4">
        <v>4</v>
      </c>
    </row>
    <row r="5" spans="1:3" x14ac:dyDescent="0.25">
      <c r="A5" t="s">
        <v>55</v>
      </c>
      <c r="B5">
        <v>4</v>
      </c>
      <c r="C5">
        <v>4</v>
      </c>
    </row>
    <row r="6" spans="1:3" x14ac:dyDescent="0.25">
      <c r="A6" t="s">
        <v>56</v>
      </c>
      <c r="B6">
        <v>3</v>
      </c>
      <c r="C6">
        <v>3</v>
      </c>
    </row>
    <row r="7" spans="1:3" x14ac:dyDescent="0.25">
      <c r="A7" t="s">
        <v>58</v>
      </c>
      <c r="B7">
        <f>SUM(B3:B6)</f>
        <v>15</v>
      </c>
      <c r="C7">
        <f>SUM(C3:C6)</f>
        <v>15</v>
      </c>
    </row>
    <row r="8" spans="1:3" x14ac:dyDescent="0.25">
      <c r="B8">
        <f>B7/C7*C8</f>
        <v>4</v>
      </c>
      <c r="C8">
        <v>4</v>
      </c>
    </row>
    <row r="14" spans="1:3" x14ac:dyDescent="0.25">
      <c r="B14" t="s">
        <v>46</v>
      </c>
    </row>
    <row r="16" spans="1:3" x14ac:dyDescent="0.25">
      <c r="A16" t="s">
        <v>59</v>
      </c>
      <c r="C16">
        <v>5</v>
      </c>
    </row>
    <row r="17" spans="1:3" x14ac:dyDescent="0.25">
      <c r="A17" t="s">
        <v>60</v>
      </c>
      <c r="C17">
        <v>10</v>
      </c>
    </row>
    <row r="18" spans="1:3" x14ac:dyDescent="0.25">
      <c r="A18" t="s">
        <v>61</v>
      </c>
      <c r="C18">
        <v>10</v>
      </c>
    </row>
    <row r="19" spans="1:3" x14ac:dyDescent="0.25">
      <c r="A19" t="s">
        <v>62</v>
      </c>
      <c r="C19">
        <v>10</v>
      </c>
    </row>
    <row r="20" spans="1:3" x14ac:dyDescent="0.25">
      <c r="A20" t="s">
        <v>63</v>
      </c>
      <c r="C20">
        <v>15</v>
      </c>
    </row>
    <row r="21" spans="1:3" x14ac:dyDescent="0.25">
      <c r="A21" t="s">
        <v>64</v>
      </c>
      <c r="C21">
        <v>10</v>
      </c>
    </row>
    <row r="22" spans="1:3" x14ac:dyDescent="0.25">
      <c r="A22" t="s">
        <v>65</v>
      </c>
      <c r="C22">
        <v>5</v>
      </c>
    </row>
    <row r="23" spans="1:3" x14ac:dyDescent="0.25">
      <c r="A23" t="s">
        <v>66</v>
      </c>
      <c r="C23">
        <v>5</v>
      </c>
    </row>
    <row r="25" spans="1:3" x14ac:dyDescent="0.25">
      <c r="A25" t="s">
        <v>67</v>
      </c>
      <c r="C25">
        <v>20</v>
      </c>
    </row>
    <row r="26" spans="1:3" x14ac:dyDescent="0.25">
      <c r="A26" t="s">
        <v>68</v>
      </c>
      <c r="C26">
        <v>10</v>
      </c>
    </row>
    <row r="29" spans="1:3" x14ac:dyDescent="0.25">
      <c r="A29" t="s">
        <v>58</v>
      </c>
      <c r="C29">
        <f>SUM(C16:C27)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5DE7-4111-491B-AC6A-3C5D32D736A9}">
  <dimension ref="A1:C29"/>
  <sheetViews>
    <sheetView workbookViewId="0">
      <selection activeCell="B15" sqref="B15"/>
    </sheetView>
  </sheetViews>
  <sheetFormatPr defaultRowHeight="15.75" x14ac:dyDescent="0.25"/>
  <cols>
    <col min="1" max="1" width="22.5" customWidth="1"/>
    <col min="2" max="2" width="11.25" customWidth="1"/>
  </cols>
  <sheetData>
    <row r="1" spans="1:3" x14ac:dyDescent="0.25">
      <c r="A1" t="s">
        <v>72</v>
      </c>
      <c r="B1" t="s">
        <v>47</v>
      </c>
    </row>
    <row r="3" spans="1:3" x14ac:dyDescent="0.25">
      <c r="A3" t="s">
        <v>53</v>
      </c>
      <c r="B3">
        <v>3</v>
      </c>
      <c r="C3">
        <v>4</v>
      </c>
    </row>
    <row r="4" spans="1:3" x14ac:dyDescent="0.25">
      <c r="A4" t="s">
        <v>54</v>
      </c>
      <c r="B4">
        <v>2</v>
      </c>
      <c r="C4">
        <v>4</v>
      </c>
    </row>
    <row r="5" spans="1:3" x14ac:dyDescent="0.25">
      <c r="A5" t="s">
        <v>55</v>
      </c>
      <c r="B5">
        <v>2.5</v>
      </c>
      <c r="C5">
        <v>4</v>
      </c>
    </row>
    <row r="6" spans="1:3" x14ac:dyDescent="0.25">
      <c r="A6" t="s">
        <v>56</v>
      </c>
      <c r="B6">
        <v>3</v>
      </c>
      <c r="C6">
        <v>3</v>
      </c>
    </row>
    <row r="7" spans="1:3" x14ac:dyDescent="0.25">
      <c r="A7" t="s">
        <v>58</v>
      </c>
      <c r="B7">
        <f>SUM(B3:B6)</f>
        <v>10.5</v>
      </c>
      <c r="C7">
        <f>SUM(C3:C6)</f>
        <v>15</v>
      </c>
    </row>
    <row r="8" spans="1:3" x14ac:dyDescent="0.25">
      <c r="B8">
        <f>B7/C7*C8</f>
        <v>2.8</v>
      </c>
      <c r="C8">
        <v>4</v>
      </c>
    </row>
    <row r="14" spans="1:3" x14ac:dyDescent="0.25">
      <c r="B14" t="s">
        <v>46</v>
      </c>
    </row>
    <row r="16" spans="1:3" x14ac:dyDescent="0.25">
      <c r="A16" t="s">
        <v>59</v>
      </c>
      <c r="C16">
        <v>5</v>
      </c>
    </row>
    <row r="17" spans="1:3" x14ac:dyDescent="0.25">
      <c r="A17" t="s">
        <v>60</v>
      </c>
      <c r="C17">
        <v>10</v>
      </c>
    </row>
    <row r="18" spans="1:3" x14ac:dyDescent="0.25">
      <c r="A18" t="s">
        <v>61</v>
      </c>
      <c r="C18">
        <v>10</v>
      </c>
    </row>
    <row r="19" spans="1:3" x14ac:dyDescent="0.25">
      <c r="A19" t="s">
        <v>62</v>
      </c>
      <c r="C19">
        <v>10</v>
      </c>
    </row>
    <row r="20" spans="1:3" x14ac:dyDescent="0.25">
      <c r="A20" t="s">
        <v>63</v>
      </c>
      <c r="C20">
        <v>15</v>
      </c>
    </row>
    <row r="21" spans="1:3" x14ac:dyDescent="0.25">
      <c r="A21" t="s">
        <v>64</v>
      </c>
      <c r="C21">
        <v>10</v>
      </c>
    </row>
    <row r="22" spans="1:3" x14ac:dyDescent="0.25">
      <c r="A22" t="s">
        <v>65</v>
      </c>
      <c r="C22">
        <v>5</v>
      </c>
    </row>
    <row r="23" spans="1:3" x14ac:dyDescent="0.25">
      <c r="A23" t="s">
        <v>66</v>
      </c>
      <c r="C23">
        <v>5</v>
      </c>
    </row>
    <row r="25" spans="1:3" x14ac:dyDescent="0.25">
      <c r="A25" t="s">
        <v>67</v>
      </c>
      <c r="C25">
        <v>20</v>
      </c>
    </row>
    <row r="26" spans="1:3" x14ac:dyDescent="0.25">
      <c r="A26" t="s">
        <v>68</v>
      </c>
      <c r="C26">
        <v>10</v>
      </c>
    </row>
    <row r="29" spans="1:3" x14ac:dyDescent="0.25">
      <c r="A29" t="s">
        <v>58</v>
      </c>
      <c r="C29">
        <f>SUM(C16:C27)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</vt:lpstr>
      <vt:lpstr>Group 1</vt:lpstr>
      <vt:lpstr>Group 2</vt:lpstr>
      <vt:lpstr>Group 3</vt:lpstr>
      <vt:lpstr>Group 4</vt:lpstr>
      <vt:lpstr>Group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Nate</cp:lastModifiedBy>
  <dcterms:created xsi:type="dcterms:W3CDTF">2021-09-03T15:43:20Z</dcterms:created>
  <dcterms:modified xsi:type="dcterms:W3CDTF">2021-12-27T22:31:10Z</dcterms:modified>
</cp:coreProperties>
</file>