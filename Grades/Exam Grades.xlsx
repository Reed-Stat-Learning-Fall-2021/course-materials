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llsj/Documents/GitHub/Stat Learning F21/course-materials/Grades/"/>
    </mc:Choice>
  </mc:AlternateContent>
  <xr:revisionPtr revIDLastSave="0" documentId="13_ncr:1_{16C16FAE-E83A-314A-9CC7-18E025EE5625}" xr6:coauthVersionLast="47" xr6:coauthVersionMax="47" xr10:uidLastSave="{00000000-0000-0000-0000-000000000000}"/>
  <bookViews>
    <workbookView xWindow="11380" yWindow="1420" windowWidth="26100" windowHeight="18980" xr2:uid="{E2B26994-3EE5-964D-9F2F-EA1665179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E2" i="1"/>
  <c r="E28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D27" i="1"/>
  <c r="D26" i="1"/>
  <c r="D25" i="1"/>
  <c r="D24" i="1"/>
  <c r="D23" i="1"/>
  <c r="D21" i="1"/>
  <c r="D22" i="1"/>
  <c r="E26" i="1" l="1"/>
  <c r="E25" i="1"/>
  <c r="E24" i="1"/>
  <c r="E23" i="1"/>
  <c r="E22" i="1"/>
  <c r="E21" i="1"/>
  <c r="E27" i="1"/>
</calcChain>
</file>

<file path=xl/sharedStrings.xml><?xml version="1.0" encoding="utf-8"?>
<sst xmlns="http://schemas.openxmlformats.org/spreadsheetml/2006/main" count="57" uniqueCount="57">
  <si>
    <t>reed_id</t>
  </si>
  <si>
    <t>last_name</t>
  </si>
  <si>
    <t>S74797</t>
  </si>
  <si>
    <t>Ahn</t>
  </si>
  <si>
    <t>Simon</t>
  </si>
  <si>
    <t>Beeman-Weber</t>
  </si>
  <si>
    <t>Calvin</t>
  </si>
  <si>
    <t>Blair</t>
  </si>
  <si>
    <t>Taylor</t>
  </si>
  <si>
    <t>Buggana</t>
  </si>
  <si>
    <t>Rohan</t>
  </si>
  <si>
    <t>Burton-Heckman</t>
  </si>
  <si>
    <t>Kenai</t>
  </si>
  <si>
    <t>S81138</t>
  </si>
  <si>
    <t>Caldwell</t>
  </si>
  <si>
    <t>Isabelle</t>
  </si>
  <si>
    <t>A42231</t>
  </si>
  <si>
    <t>DeVries</t>
  </si>
  <si>
    <t>Jon</t>
  </si>
  <si>
    <t>Hardwick</t>
  </si>
  <si>
    <t>Robin</t>
  </si>
  <si>
    <t>Khurana</t>
  </si>
  <si>
    <t>Bhavjot</t>
  </si>
  <si>
    <t>S74039</t>
  </si>
  <si>
    <t>Krishnamurthy</t>
  </si>
  <si>
    <t>Rishi</t>
  </si>
  <si>
    <t>S76304</t>
  </si>
  <si>
    <t>Krishnan</t>
  </si>
  <si>
    <t>Ananke</t>
  </si>
  <si>
    <t>S54930</t>
  </si>
  <si>
    <t>McGinnis</t>
  </si>
  <si>
    <t>Gillian</t>
  </si>
  <si>
    <t>Peterson</t>
  </si>
  <si>
    <t>Sky</t>
  </si>
  <si>
    <t>A56373</t>
  </si>
  <si>
    <t>Qin</t>
  </si>
  <si>
    <t>Tina</t>
  </si>
  <si>
    <t>S82159</t>
  </si>
  <si>
    <t>Shimer</t>
  </si>
  <si>
    <t>Jakob</t>
  </si>
  <si>
    <t>Thoron</t>
  </si>
  <si>
    <t>Emma</t>
  </si>
  <si>
    <t>VanLandschoot</t>
  </si>
  <si>
    <t>Maxwell</t>
  </si>
  <si>
    <t>Wilkerson</t>
  </si>
  <si>
    <t>Arai</t>
  </si>
  <si>
    <t>first_name</t>
  </si>
  <si>
    <t>Midterm_1</t>
  </si>
  <si>
    <t>Midterm_1_pct</t>
  </si>
  <si>
    <t>Average</t>
  </si>
  <si>
    <t>St Dev</t>
  </si>
  <si>
    <t>Max</t>
  </si>
  <si>
    <t>Q3</t>
  </si>
  <si>
    <t>Median</t>
  </si>
  <si>
    <t>Q1</t>
  </si>
  <si>
    <t>Min</t>
  </si>
  <si>
    <t>Number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</si>
</sst>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5085B-43A2-614E-8C55-2D866D6F2BB9}" name="Table2" displayName="Table2" ref="A1:E19" totalsRowShown="0">
  <autoFilter ref="A1:E19" xr:uid="{F795085B-43A2-614E-8C55-2D866D6F2BB9}"/>
  <sortState xmlns:xlrd2="http://schemas.microsoft.com/office/spreadsheetml/2017/richdata2" ref="A2:E19">
    <sortCondition ref="C1:C19"/>
  </sortState>
  <tableColumns count="5">
    <tableColumn id="1" xr3:uid="{77F8F90F-5C8E-BC4C-B545-FA75B259CA8F}" name="reed_id"/>
    <tableColumn id="2" xr3:uid="{7146B570-825A-7D4C-890F-90E736404710}" name="last_name"/>
    <tableColumn id="3" xr3:uid="{D61C3733-DDE0-7A4F-8F95-3BE6FC83489B}" name="first_name"/>
    <tableColumn id="4" xr3:uid="{C524DDEB-2F3A-3448-9786-159474E2DF2D}" name="Midterm_1"/>
    <tableColumn id="5" xr3:uid="{A435395F-A4DA-0145-9160-A4A3311B3E8F}" name="Midterm_1_pct" dataCellStyle="Percent">
      <calculatedColumnFormula>Table2[[#This Row],[Midterm_1]]/40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09FD-2083-5844-BEDB-30F87C39EC3C}">
  <dimension ref="A1:E28"/>
  <sheetViews>
    <sheetView tabSelected="1" zoomScale="140" zoomScaleNormal="140" workbookViewId="0">
      <selection activeCell="J14" sqref="J14"/>
    </sheetView>
  </sheetViews>
  <sheetFormatPr baseColWidth="10" defaultColWidth="11" defaultRowHeight="16" x14ac:dyDescent="0.2"/>
  <cols>
    <col min="2" max="2" width="12.1640625" customWidth="1"/>
    <col min="3" max="3" width="12.5" customWidth="1"/>
  </cols>
  <sheetData>
    <row r="1" spans="1:5" x14ac:dyDescent="0.2">
      <c r="A1" t="s">
        <v>0</v>
      </c>
      <c r="B1" t="s">
        <v>1</v>
      </c>
      <c r="C1" t="s">
        <v>46</v>
      </c>
      <c r="D1" s="1" t="s">
        <v>47</v>
      </c>
      <c r="E1" s="1" t="s">
        <v>48</v>
      </c>
    </row>
    <row r="2" spans="1:5" x14ac:dyDescent="0.2">
      <c r="A2" t="s">
        <v>26</v>
      </c>
      <c r="B2" t="s">
        <v>27</v>
      </c>
      <c r="C2" t="s">
        <v>28</v>
      </c>
      <c r="D2">
        <v>39</v>
      </c>
      <c r="E2" s="2">
        <f>Table2[[#This Row],[Midterm_1]]/40</f>
        <v>0.97499999999999998</v>
      </c>
    </row>
    <row r="3" spans="1:5" x14ac:dyDescent="0.2">
      <c r="A3">
        <v>20014500</v>
      </c>
      <c r="B3" t="s">
        <v>44</v>
      </c>
      <c r="C3" t="s">
        <v>45</v>
      </c>
      <c r="D3">
        <v>26.5</v>
      </c>
      <c r="E3" s="2">
        <f>Table2[[#This Row],[Midterm_1]]/40</f>
        <v>0.66249999999999998</v>
      </c>
    </row>
    <row r="4" spans="1:5" x14ac:dyDescent="0.2">
      <c r="A4">
        <v>20007907</v>
      </c>
      <c r="B4" t="s">
        <v>21</v>
      </c>
      <c r="C4" t="s">
        <v>22</v>
      </c>
      <c r="D4">
        <v>37.5</v>
      </c>
      <c r="E4" s="2">
        <f>Table2[[#This Row],[Midterm_1]]/40</f>
        <v>0.9375</v>
      </c>
    </row>
    <row r="5" spans="1:5" x14ac:dyDescent="0.2">
      <c r="A5">
        <v>20009766</v>
      </c>
      <c r="B5" t="s">
        <v>5</v>
      </c>
      <c r="C5" t="s">
        <v>6</v>
      </c>
      <c r="D5">
        <v>34.5</v>
      </c>
      <c r="E5" s="2">
        <f>Table2[[#This Row],[Midterm_1]]/40</f>
        <v>0.86250000000000004</v>
      </c>
    </row>
    <row r="6" spans="1:5" x14ac:dyDescent="0.2">
      <c r="A6">
        <v>20005442</v>
      </c>
      <c r="B6" t="s">
        <v>40</v>
      </c>
      <c r="C6" t="s">
        <v>41</v>
      </c>
      <c r="D6">
        <v>35</v>
      </c>
      <c r="E6" s="2">
        <f>Table2[[#This Row],[Midterm_1]]/40</f>
        <v>0.875</v>
      </c>
    </row>
    <row r="7" spans="1:5" x14ac:dyDescent="0.2">
      <c r="A7" t="s">
        <v>29</v>
      </c>
      <c r="B7" t="s">
        <v>30</v>
      </c>
      <c r="C7" t="s">
        <v>31</v>
      </c>
      <c r="D7">
        <v>38.5</v>
      </c>
      <c r="E7" s="2">
        <f>Table2[[#This Row],[Midterm_1]]/40</f>
        <v>0.96250000000000002</v>
      </c>
    </row>
    <row r="8" spans="1:5" x14ac:dyDescent="0.2">
      <c r="A8" t="s">
        <v>13</v>
      </c>
      <c r="B8" t="s">
        <v>14</v>
      </c>
      <c r="C8" t="s">
        <v>15</v>
      </c>
      <c r="D8">
        <v>39</v>
      </c>
      <c r="E8" s="2">
        <f>Table2[[#This Row],[Midterm_1]]/40</f>
        <v>0.97499999999999998</v>
      </c>
    </row>
    <row r="9" spans="1:5" x14ac:dyDescent="0.2">
      <c r="A9" t="s">
        <v>37</v>
      </c>
      <c r="B9" t="s">
        <v>38</v>
      </c>
      <c r="C9" t="s">
        <v>39</v>
      </c>
      <c r="D9">
        <v>39</v>
      </c>
      <c r="E9" s="2">
        <f>Table2[[#This Row],[Midterm_1]]/40</f>
        <v>0.97499999999999998</v>
      </c>
    </row>
    <row r="10" spans="1:5" x14ac:dyDescent="0.2">
      <c r="A10" t="s">
        <v>16</v>
      </c>
      <c r="B10" t="s">
        <v>17</v>
      </c>
      <c r="C10" t="s">
        <v>18</v>
      </c>
      <c r="D10">
        <v>37</v>
      </c>
      <c r="E10" s="2">
        <f>Table2[[#This Row],[Midterm_1]]/40</f>
        <v>0.92500000000000004</v>
      </c>
    </row>
    <row r="11" spans="1:5" x14ac:dyDescent="0.2">
      <c r="A11">
        <v>20016821</v>
      </c>
      <c r="B11" t="s">
        <v>11</v>
      </c>
      <c r="C11" t="s">
        <v>12</v>
      </c>
      <c r="D11">
        <v>38</v>
      </c>
      <c r="E11" s="2">
        <f>Table2[[#This Row],[Midterm_1]]/40</f>
        <v>0.95</v>
      </c>
    </row>
    <row r="12" spans="1:5" x14ac:dyDescent="0.2">
      <c r="A12">
        <v>20008352</v>
      </c>
      <c r="B12" t="s">
        <v>42</v>
      </c>
      <c r="C12" t="s">
        <v>43</v>
      </c>
      <c r="D12">
        <v>39</v>
      </c>
      <c r="E12" s="2">
        <f>Table2[[#This Row],[Midterm_1]]/40</f>
        <v>0.97499999999999998</v>
      </c>
    </row>
    <row r="13" spans="1:5" x14ac:dyDescent="0.2">
      <c r="A13" t="s">
        <v>23</v>
      </c>
      <c r="B13" t="s">
        <v>24</v>
      </c>
      <c r="C13" t="s">
        <v>25</v>
      </c>
      <c r="D13">
        <v>39</v>
      </c>
      <c r="E13" s="2">
        <f>Table2[[#This Row],[Midterm_1]]/40</f>
        <v>0.97499999999999998</v>
      </c>
    </row>
    <row r="14" spans="1:5" x14ac:dyDescent="0.2">
      <c r="A14">
        <v>20010417</v>
      </c>
      <c r="B14" t="s">
        <v>19</v>
      </c>
      <c r="C14" t="s">
        <v>20</v>
      </c>
      <c r="D14">
        <v>39</v>
      </c>
      <c r="E14" s="2">
        <f>Table2[[#This Row],[Midterm_1]]/40</f>
        <v>0.97499999999999998</v>
      </c>
    </row>
    <row r="15" spans="1:5" x14ac:dyDescent="0.2">
      <c r="A15">
        <v>20016819</v>
      </c>
      <c r="B15" t="s">
        <v>9</v>
      </c>
      <c r="C15" t="s">
        <v>10</v>
      </c>
      <c r="D15">
        <v>36.5</v>
      </c>
      <c r="E15" s="2">
        <f>Table2[[#This Row],[Midterm_1]]/40</f>
        <v>0.91249999999999998</v>
      </c>
    </row>
    <row r="16" spans="1:5" x14ac:dyDescent="0.2">
      <c r="A16" t="s">
        <v>2</v>
      </c>
      <c r="B16" t="s">
        <v>3</v>
      </c>
      <c r="C16" t="s">
        <v>4</v>
      </c>
      <c r="D16">
        <v>31</v>
      </c>
      <c r="E16" s="2">
        <f>Table2[[#This Row],[Midterm_1]]/40</f>
        <v>0.77500000000000002</v>
      </c>
    </row>
    <row r="17" spans="1:5" x14ac:dyDescent="0.2">
      <c r="A17">
        <v>20010981</v>
      </c>
      <c r="B17" t="s">
        <v>32</v>
      </c>
      <c r="C17" t="s">
        <v>33</v>
      </c>
      <c r="D17">
        <v>36</v>
      </c>
      <c r="E17" s="2">
        <f>Table2[[#This Row],[Midterm_1]]/40</f>
        <v>0.9</v>
      </c>
    </row>
    <row r="18" spans="1:5" x14ac:dyDescent="0.2">
      <c r="A18">
        <v>20013614</v>
      </c>
      <c r="B18" t="s">
        <v>7</v>
      </c>
      <c r="C18" t="s">
        <v>8</v>
      </c>
      <c r="D18">
        <v>34.5</v>
      </c>
      <c r="E18" s="2">
        <f>Table2[[#This Row],[Midterm_1]]/40</f>
        <v>0.86250000000000004</v>
      </c>
    </row>
    <row r="19" spans="1:5" x14ac:dyDescent="0.2">
      <c r="A19" t="s">
        <v>34</v>
      </c>
      <c r="B19" t="s">
        <v>35</v>
      </c>
      <c r="C19" t="s">
        <v>36</v>
      </c>
      <c r="D19">
        <v>37</v>
      </c>
      <c r="E19" s="2">
        <f>Table2[[#This Row],[Midterm_1]]/40</f>
        <v>0.92500000000000004</v>
      </c>
    </row>
    <row r="21" spans="1:5" x14ac:dyDescent="0.2">
      <c r="C21" t="s">
        <v>49</v>
      </c>
      <c r="D21">
        <f>AVERAGE(Table2[[#All],[Midterm_1]])</f>
        <v>36.444444444444443</v>
      </c>
      <c r="E21" s="2">
        <f>AVERAGE(Table2[[#All],[Midterm_1_pct]])</f>
        <v>0.91111111111111098</v>
      </c>
    </row>
    <row r="22" spans="1:5" x14ac:dyDescent="0.2">
      <c r="C22" t="s">
        <v>50</v>
      </c>
      <c r="D22">
        <f>STDEV(Table2[Midterm_1])</f>
        <v>3.3072508971549195</v>
      </c>
      <c r="E22" s="2">
        <f>STDEV(Table2[Midterm_1_pct])</f>
        <v>8.2681272428872993E-2</v>
      </c>
    </row>
    <row r="23" spans="1:5" x14ac:dyDescent="0.2">
      <c r="C23" t="s">
        <v>51</v>
      </c>
      <c r="D23">
        <f>MAX(Table2[Midterm_1])</f>
        <v>39</v>
      </c>
      <c r="E23" s="2">
        <f>MAX(Table2[Midterm_1_pct])</f>
        <v>0.97499999999999998</v>
      </c>
    </row>
    <row r="24" spans="1:5" x14ac:dyDescent="0.2">
      <c r="C24" t="s">
        <v>52</v>
      </c>
      <c r="D24">
        <f>_xlfn.QUARTILE.INC(Table2[Midterm_1],3)</f>
        <v>39</v>
      </c>
      <c r="E24" s="2">
        <f>_xlfn.QUARTILE.INC(Table2[Midterm_1_pct],3)</f>
        <v>0.97499999999999998</v>
      </c>
    </row>
    <row r="25" spans="1:5" x14ac:dyDescent="0.2">
      <c r="C25" t="s">
        <v>53</v>
      </c>
      <c r="D25">
        <f>MEDIAN(Table2[Midterm_1])</f>
        <v>37.25</v>
      </c>
      <c r="E25" s="2">
        <f>MEDIAN(Table2[Midterm_1_pct])</f>
        <v>0.93125000000000002</v>
      </c>
    </row>
    <row r="26" spans="1:5" x14ac:dyDescent="0.2">
      <c r="C26" t="s">
        <v>54</v>
      </c>
      <c r="D26">
        <f>_xlfn.QUARTILE.INC(Table2[Midterm_1],1)</f>
        <v>35.25</v>
      </c>
      <c r="E26" s="2">
        <f>_xlfn.QUARTILE.INC(Table2[Midterm_1_pct],1)</f>
        <v>0.88124999999999998</v>
      </c>
    </row>
    <row r="27" spans="1:5" x14ac:dyDescent="0.2">
      <c r="C27" t="s">
        <v>55</v>
      </c>
      <c r="D27">
        <f>MIN(Table2[Midterm_1])</f>
        <v>26.5</v>
      </c>
      <c r="E27" s="2">
        <f>MIN(Table2[Midterm_1_pct])</f>
        <v>0.66249999999999998</v>
      </c>
    </row>
    <row r="28" spans="1:5" x14ac:dyDescent="0.2">
      <c r="C28" t="s">
        <v>56</v>
      </c>
      <c r="D28">
        <f>COUNTIF(Table2[Midterm_1],"=NA")</f>
        <v>0</v>
      </c>
      <c r="E28">
        <f>COUNTIF(Table2[Midterm_1_pct],"=NA")</f>
        <v>0</v>
      </c>
    </row>
  </sheetData>
  <conditionalFormatting sqref="D2:D19">
    <cfRule type="cellIs" dxfId="3" priority="1" operator="greaterThanOrEqual">
      <formula>37</formula>
    </cfRule>
    <cfRule type="cellIs" dxfId="2" priority="2" operator="between">
      <formula>34</formula>
      <formula>36.5</formula>
    </cfRule>
    <cfRule type="cellIs" dxfId="1" priority="3" operator="between">
      <formula>28</formula>
      <formula>33.5</formula>
    </cfRule>
    <cfRule type="cellIs" dxfId="0" priority="5" operator="lessThan">
      <formula>28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2021-09-03T15:43:20Z</dcterms:created>
  <dcterms:modified xsi:type="dcterms:W3CDTF">2021-10-24T23:00:11Z</dcterms:modified>
</cp:coreProperties>
</file>