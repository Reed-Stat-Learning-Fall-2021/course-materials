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:\My Drive\Teaching\Classes\Math 243\Fall 2021\course-materials\Grades\"/>
    </mc:Choice>
  </mc:AlternateContent>
  <xr:revisionPtr revIDLastSave="0" documentId="13_ncr:1_{81B8CDC9-CD34-431D-8EC1-4CD92F22D7EB}" xr6:coauthVersionLast="47" xr6:coauthVersionMax="47" xr10:uidLastSave="{00000000-0000-0000-0000-000000000000}"/>
  <bookViews>
    <workbookView xWindow="4785" yWindow="225" windowWidth="23745" windowHeight="1533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1" i="1" l="1"/>
  <c r="F22" i="1"/>
  <c r="F23" i="1"/>
  <c r="F24" i="1"/>
  <c r="F25" i="1"/>
  <c r="F26" i="1"/>
  <c r="F27" i="1"/>
  <c r="F28" i="1"/>
  <c r="G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D28" i="1"/>
  <c r="E2" i="1"/>
  <c r="E28" i="1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D27" i="1"/>
  <c r="D26" i="1"/>
  <c r="D25" i="1"/>
  <c r="D24" i="1"/>
  <c r="D23" i="1"/>
  <c r="D21" i="1"/>
  <c r="D22" i="1"/>
  <c r="G23" i="1" l="1"/>
  <c r="G27" i="1"/>
  <c r="G26" i="1"/>
  <c r="G21" i="1"/>
  <c r="G25" i="1"/>
  <c r="G24" i="1"/>
  <c r="G22" i="1"/>
  <c r="E26" i="1"/>
  <c r="E25" i="1"/>
  <c r="E24" i="1"/>
  <c r="E23" i="1"/>
  <c r="E22" i="1"/>
  <c r="E21" i="1"/>
  <c r="E27" i="1"/>
</calcChain>
</file>

<file path=xl/sharedStrings.xml><?xml version="1.0" encoding="utf-8"?>
<sst xmlns="http://schemas.openxmlformats.org/spreadsheetml/2006/main" count="59" uniqueCount="59">
  <si>
    <t>reed_id</t>
  </si>
  <si>
    <t>last_name</t>
  </si>
  <si>
    <t>S74797</t>
  </si>
  <si>
    <t>Ahn</t>
  </si>
  <si>
    <t>Simon</t>
  </si>
  <si>
    <t>Beeman-Weber</t>
  </si>
  <si>
    <t>Calvin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</si>
  <si>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</si>
  <si>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</si>
  <si>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</si>
  <si>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</si>
  <si>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</si>
  <si>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</si>
  <si>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</si>
  <si>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</si>
  <si>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</si>
  <si>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</si>
  <si>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</si>
  <si>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</si>
  <si>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</si>
  <si>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</si>
  <si>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</si>
  <si>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</si>
  <si>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</si>
  <si>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</si>
  <si>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</si>
  <si>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</si>
  <si>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</si>
  <si>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</si>
  <si>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</si>
  <si>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</si>
  <si>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</si>
  <si>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</si>
  <si>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</si>
  <si>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</si>
  <si>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</si>
  <si>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</si>
  <si>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</si>
  <si>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</si>
  <si>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</si>
  <si>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</si>
  <si>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</si>
  <si>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</si>
  <si>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</si>
  <si>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</si>
  <si>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</si>
  <si>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first_name</t>
  </si>
  <si>
    <t>Midterm_1</t>
  </si>
  <si>
    <t>Midterm_1_pct</t>
  </si>
  <si>
    <t>Average</t>
  </si>
  <si>
    <t>St Dev</t>
  </si>
  <si>
    <t>Max</t>
  </si>
  <si>
    <t>Q3</t>
  </si>
  <si>
    <t>Median</t>
  </si>
  <si>
    <t>Q1</t>
  </si>
  <si>
    <t>Min</t>
  </si>
  <si>
    <t>Number Zero</t>
  </si>
  <si>
    <t>Midterm_2</t>
  </si>
  <si>
    <t>Midterm_2_pct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</si>
</sst>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6" fontId="0" fillId="0" borderId="0" xfId="0" applyNumberFormat="1"/>
    <xf numFmtId="9" fontId="0" fillId="0" borderId="0" xfId="1" applyFont="1"/>
    <xf numFmtId="168" fontId="0" fillId="0" borderId="0" xfId="1" applyNumberFormat="1" applyFont="1"/>
    <xf numFmtId="0" fontId="0" fillId="0" borderId="0" xfId="1" applyNumberFormat="1" applyFont="1"/>
    <xf numFmtId="0" fontId="0" fillId="0" borderId="0" xfId="0" applyNumberFormat="1"/>
  </cellXfs>
  <cellStyles count="2">
    <cellStyle name="Normal" xfId="0" builtinId="0"/>
    <cellStyle name="Percent" xfId="1" builtinId="5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</dxf>
    <dxf>
      <numFmt numFmtId="168" formatCode="0.0%"/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4"/>
      </font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G19" totalsRowShown="0">
  <autoFilter ref="A1:G19" xr:uid="{F795085B-43A2-614E-8C55-2D866D6F2BB9}"/>
  <sortState xmlns:xlrd2="http://schemas.microsoft.com/office/spreadsheetml/2017/richdata2" ref="A2:E19">
    <sortCondition ref="C1:C19"/>
  </sortState>
  <tableColumns count="7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Midterm_1"/>
    <tableColumn id="5" xr3:uid="{A435395F-A4DA-0145-9160-A4A3311B3E8F}" name="Midterm_1_pct" dataCellStyle="Percent">
      <calculatedColumnFormula>Table2[[#This Row],[Midterm_1]]/40</calculatedColumnFormula>
    </tableColumn>
    <tableColumn id="7" xr3:uid="{9C711AC8-5787-4B9B-BED7-32D1D807C96B}" name="Midterm_2" dataDxfId="0" dataCellStyle="Percent"/>
    <tableColumn id="8" xr3:uid="{712BDCE5-7056-42A5-8A55-E2FA1A67C2D3}" name="Midterm_2_pct" dataDxfId="1" dataCellStyle="Percent">
      <calculatedColumnFormula>Table2[[#This Row],[Midterm_2]]/100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G28"/>
  <sheetViews>
    <sheetView tabSelected="1" zoomScale="140" zoomScaleNormal="140" workbookViewId="0">
      <selection activeCell="F26" sqref="F26"/>
    </sheetView>
  </sheetViews>
  <sheetFormatPr defaultColWidth="11" defaultRowHeight="15.75" x14ac:dyDescent="0.25"/>
  <cols>
    <col min="2" max="2" width="12.125" customWidth="1"/>
    <col min="3" max="3" width="12.5" customWidth="1"/>
  </cols>
  <sheetData>
    <row r="1" spans="1:7" x14ac:dyDescent="0.25">
      <c r="A1" t="s">
        <v>0</v>
      </c>
      <c r="B1" t="s">
        <v>1</v>
      </c>
      <c r="C1" t="s">
        <v>46</v>
      </c>
      <c r="D1" s="1" t="s">
        <v>47</v>
      </c>
      <c r="E1" s="1" t="s">
        <v>48</v>
      </c>
      <c r="F1" s="1" t="s">
        <v>57</v>
      </c>
      <c r="G1" s="1" t="s">
        <v>58</v>
      </c>
    </row>
    <row r="2" spans="1:7" x14ac:dyDescent="0.25">
      <c r="A2" t="s">
        <v>26</v>
      </c>
      <c r="B2" t="s">
        <v>27</v>
      </c>
      <c r="C2" t="s">
        <v>28</v>
      </c>
      <c r="D2">
        <v>39</v>
      </c>
      <c r="E2" s="2">
        <f>Table2[[#This Row],[Midterm_1]]/40</f>
        <v>0.97499999999999998</v>
      </c>
      <c r="F2" s="4">
        <v>99.5</v>
      </c>
      <c r="G2" s="3">
        <f>Table2[[#This Row],[Midterm_2]]/100</f>
        <v>0.995</v>
      </c>
    </row>
    <row r="3" spans="1:7" x14ac:dyDescent="0.25">
      <c r="A3">
        <v>20014500</v>
      </c>
      <c r="B3" t="s">
        <v>44</v>
      </c>
      <c r="C3" t="s">
        <v>45</v>
      </c>
      <c r="D3">
        <v>26.5</v>
      </c>
      <c r="E3" s="2">
        <f>Table2[[#This Row],[Midterm_1]]/40</f>
        <v>0.66249999999999998</v>
      </c>
      <c r="F3" s="4">
        <v>0</v>
      </c>
      <c r="G3" s="3">
        <f>Table2[[#This Row],[Midterm_2]]/100</f>
        <v>0</v>
      </c>
    </row>
    <row r="4" spans="1:7" x14ac:dyDescent="0.25">
      <c r="A4">
        <v>20007907</v>
      </c>
      <c r="B4" t="s">
        <v>21</v>
      </c>
      <c r="C4" t="s">
        <v>22</v>
      </c>
      <c r="D4">
        <v>37.5</v>
      </c>
      <c r="E4" s="2">
        <f>Table2[[#This Row],[Midterm_1]]/40</f>
        <v>0.9375</v>
      </c>
      <c r="F4" s="4">
        <v>85</v>
      </c>
      <c r="G4" s="3">
        <f>Table2[[#This Row],[Midterm_2]]/100</f>
        <v>0.85</v>
      </c>
    </row>
    <row r="5" spans="1:7" x14ac:dyDescent="0.25">
      <c r="A5">
        <v>20009766</v>
      </c>
      <c r="B5" t="s">
        <v>5</v>
      </c>
      <c r="C5" t="s">
        <v>6</v>
      </c>
      <c r="D5">
        <v>34.5</v>
      </c>
      <c r="E5" s="2">
        <f>Table2[[#This Row],[Midterm_1]]/40</f>
        <v>0.86250000000000004</v>
      </c>
      <c r="F5" s="4">
        <v>78</v>
      </c>
      <c r="G5" s="3">
        <f>Table2[[#This Row],[Midterm_2]]/100</f>
        <v>0.78</v>
      </c>
    </row>
    <row r="6" spans="1:7" x14ac:dyDescent="0.25">
      <c r="A6">
        <v>20005442</v>
      </c>
      <c r="B6" t="s">
        <v>40</v>
      </c>
      <c r="C6" t="s">
        <v>41</v>
      </c>
      <c r="D6">
        <v>35</v>
      </c>
      <c r="E6" s="2">
        <f>Table2[[#This Row],[Midterm_1]]/40</f>
        <v>0.875</v>
      </c>
      <c r="F6" s="4">
        <v>94</v>
      </c>
      <c r="G6" s="3">
        <f>Table2[[#This Row],[Midterm_2]]/100</f>
        <v>0.94</v>
      </c>
    </row>
    <row r="7" spans="1:7" x14ac:dyDescent="0.25">
      <c r="A7" t="s">
        <v>29</v>
      </c>
      <c r="B7" t="s">
        <v>30</v>
      </c>
      <c r="C7" t="s">
        <v>31</v>
      </c>
      <c r="D7">
        <v>38.5</v>
      </c>
      <c r="E7" s="2">
        <f>Table2[[#This Row],[Midterm_1]]/40</f>
        <v>0.96250000000000002</v>
      </c>
      <c r="F7" s="4">
        <v>100</v>
      </c>
      <c r="G7" s="3">
        <f>Table2[[#This Row],[Midterm_2]]/100</f>
        <v>1</v>
      </c>
    </row>
    <row r="8" spans="1:7" x14ac:dyDescent="0.25">
      <c r="A8" t="s">
        <v>13</v>
      </c>
      <c r="B8" t="s">
        <v>14</v>
      </c>
      <c r="C8" t="s">
        <v>15</v>
      </c>
      <c r="D8">
        <v>39</v>
      </c>
      <c r="E8" s="2">
        <f>Table2[[#This Row],[Midterm_1]]/40</f>
        <v>0.97499999999999998</v>
      </c>
      <c r="F8" s="4">
        <v>95</v>
      </c>
      <c r="G8" s="3">
        <f>Table2[[#This Row],[Midterm_2]]/100</f>
        <v>0.95</v>
      </c>
    </row>
    <row r="9" spans="1:7" x14ac:dyDescent="0.25">
      <c r="A9" t="s">
        <v>37</v>
      </c>
      <c r="B9" t="s">
        <v>38</v>
      </c>
      <c r="C9" t="s">
        <v>39</v>
      </c>
      <c r="D9">
        <v>39</v>
      </c>
      <c r="E9" s="2">
        <f>Table2[[#This Row],[Midterm_1]]/40</f>
        <v>0.97499999999999998</v>
      </c>
      <c r="F9" s="4">
        <v>97</v>
      </c>
      <c r="G9" s="3">
        <f>Table2[[#This Row],[Midterm_2]]/100</f>
        <v>0.97</v>
      </c>
    </row>
    <row r="10" spans="1:7" x14ac:dyDescent="0.25">
      <c r="A10" t="s">
        <v>16</v>
      </c>
      <c r="B10" t="s">
        <v>17</v>
      </c>
      <c r="C10" t="s">
        <v>18</v>
      </c>
      <c r="D10">
        <v>37</v>
      </c>
      <c r="E10" s="2">
        <f>Table2[[#This Row],[Midterm_1]]/40</f>
        <v>0.92500000000000004</v>
      </c>
      <c r="F10" s="4">
        <v>77</v>
      </c>
      <c r="G10" s="3">
        <f>Table2[[#This Row],[Midterm_2]]/100</f>
        <v>0.77</v>
      </c>
    </row>
    <row r="11" spans="1:7" x14ac:dyDescent="0.25">
      <c r="A11">
        <v>20016821</v>
      </c>
      <c r="B11" t="s">
        <v>11</v>
      </c>
      <c r="C11" t="s">
        <v>12</v>
      </c>
      <c r="D11">
        <v>38</v>
      </c>
      <c r="E11" s="2">
        <f>Table2[[#This Row],[Midterm_1]]/40</f>
        <v>0.95</v>
      </c>
      <c r="F11" s="4">
        <v>100</v>
      </c>
      <c r="G11" s="3">
        <f>Table2[[#This Row],[Midterm_2]]/100</f>
        <v>1</v>
      </c>
    </row>
    <row r="12" spans="1:7" x14ac:dyDescent="0.25">
      <c r="A12">
        <v>20008352</v>
      </c>
      <c r="B12" t="s">
        <v>42</v>
      </c>
      <c r="C12" t="s">
        <v>43</v>
      </c>
      <c r="D12">
        <v>39</v>
      </c>
      <c r="E12" s="2">
        <f>Table2[[#This Row],[Midterm_1]]/40</f>
        <v>0.97499999999999998</v>
      </c>
      <c r="F12" s="4">
        <v>96</v>
      </c>
      <c r="G12" s="3">
        <f>Table2[[#This Row],[Midterm_2]]/100</f>
        <v>0.96</v>
      </c>
    </row>
    <row r="13" spans="1:7" x14ac:dyDescent="0.25">
      <c r="A13" t="s">
        <v>23</v>
      </c>
      <c r="B13" t="s">
        <v>24</v>
      </c>
      <c r="C13" t="s">
        <v>25</v>
      </c>
      <c r="D13">
        <v>39</v>
      </c>
      <c r="E13" s="2">
        <f>Table2[[#This Row],[Midterm_1]]/40</f>
        <v>0.97499999999999998</v>
      </c>
      <c r="F13" s="4">
        <v>85</v>
      </c>
      <c r="G13" s="3">
        <f>Table2[[#This Row],[Midterm_2]]/100</f>
        <v>0.85</v>
      </c>
    </row>
    <row r="14" spans="1:7" x14ac:dyDescent="0.25">
      <c r="A14">
        <v>20010417</v>
      </c>
      <c r="B14" t="s">
        <v>19</v>
      </c>
      <c r="C14" t="s">
        <v>20</v>
      </c>
      <c r="D14">
        <v>39</v>
      </c>
      <c r="E14" s="2">
        <f>Table2[[#This Row],[Midterm_1]]/40</f>
        <v>0.97499999999999998</v>
      </c>
      <c r="F14" s="4">
        <v>99</v>
      </c>
      <c r="G14" s="3">
        <f>Table2[[#This Row],[Midterm_2]]/100</f>
        <v>0.99</v>
      </c>
    </row>
    <row r="15" spans="1:7" x14ac:dyDescent="0.25">
      <c r="A15">
        <v>20016819</v>
      </c>
      <c r="B15" t="s">
        <v>9</v>
      </c>
      <c r="C15" t="s">
        <v>10</v>
      </c>
      <c r="D15">
        <v>36.5</v>
      </c>
      <c r="E15" s="2">
        <f>Table2[[#This Row],[Midterm_1]]/40</f>
        <v>0.91249999999999998</v>
      </c>
      <c r="F15" s="4">
        <v>100</v>
      </c>
      <c r="G15" s="3">
        <f>Table2[[#This Row],[Midterm_2]]/100</f>
        <v>1</v>
      </c>
    </row>
    <row r="16" spans="1:7" x14ac:dyDescent="0.25">
      <c r="A16" t="s">
        <v>2</v>
      </c>
      <c r="B16" t="s">
        <v>3</v>
      </c>
      <c r="C16" t="s">
        <v>4</v>
      </c>
      <c r="D16">
        <v>31</v>
      </c>
      <c r="E16" s="2">
        <f>Table2[[#This Row],[Midterm_1]]/40</f>
        <v>0.77500000000000002</v>
      </c>
      <c r="F16" s="4">
        <v>92</v>
      </c>
      <c r="G16" s="3">
        <f>Table2[[#This Row],[Midterm_2]]/100</f>
        <v>0.92</v>
      </c>
    </row>
    <row r="17" spans="1:7" x14ac:dyDescent="0.25">
      <c r="A17">
        <v>20010981</v>
      </c>
      <c r="B17" t="s">
        <v>32</v>
      </c>
      <c r="C17" t="s">
        <v>33</v>
      </c>
      <c r="D17">
        <v>36</v>
      </c>
      <c r="E17" s="2">
        <f>Table2[[#This Row],[Midterm_1]]/40</f>
        <v>0.9</v>
      </c>
      <c r="F17" s="4">
        <v>100</v>
      </c>
      <c r="G17" s="3">
        <f>Table2[[#This Row],[Midterm_2]]/100</f>
        <v>1</v>
      </c>
    </row>
    <row r="18" spans="1:7" x14ac:dyDescent="0.25">
      <c r="A18">
        <v>20013614</v>
      </c>
      <c r="B18" t="s">
        <v>7</v>
      </c>
      <c r="C18" t="s">
        <v>8</v>
      </c>
      <c r="D18">
        <v>34.5</v>
      </c>
      <c r="E18" s="2">
        <f>Table2[[#This Row],[Midterm_1]]/40</f>
        <v>0.86250000000000004</v>
      </c>
      <c r="F18" s="4">
        <v>93</v>
      </c>
      <c r="G18" s="3">
        <f>Table2[[#This Row],[Midterm_2]]/100</f>
        <v>0.93</v>
      </c>
    </row>
    <row r="19" spans="1:7" x14ac:dyDescent="0.25">
      <c r="A19" t="s">
        <v>34</v>
      </c>
      <c r="B19" t="s">
        <v>35</v>
      </c>
      <c r="C19" t="s">
        <v>36</v>
      </c>
      <c r="D19">
        <v>37</v>
      </c>
      <c r="E19" s="2">
        <f>Table2[[#This Row],[Midterm_1]]/40</f>
        <v>0.92500000000000004</v>
      </c>
      <c r="F19" s="4">
        <v>93</v>
      </c>
      <c r="G19" s="3">
        <f>Table2[[#This Row],[Midterm_2]]/100</f>
        <v>0.93</v>
      </c>
    </row>
    <row r="20" spans="1:7" x14ac:dyDescent="0.25">
      <c r="F20" s="5"/>
    </row>
    <row r="21" spans="1:7" x14ac:dyDescent="0.25">
      <c r="C21" t="s">
        <v>49</v>
      </c>
      <c r="D21">
        <f>AVERAGE(Table2[[#All],[Midterm_1]])</f>
        <v>36.444444444444443</v>
      </c>
      <c r="E21" s="2">
        <f>AVERAGE(Table2[[#All],[Midterm_1_pct]])</f>
        <v>0.91111111111111098</v>
      </c>
      <c r="F21" s="4">
        <f>AVERAGE(Table2[[#All],[Midterm_2]])</f>
        <v>87.972222222222229</v>
      </c>
      <c r="G21" s="2">
        <f>AVERAGE(Table2[[#All],[Midterm_2_pct]])</f>
        <v>0.87972222222222218</v>
      </c>
    </row>
    <row r="22" spans="1:7" x14ac:dyDescent="0.25">
      <c r="C22" t="s">
        <v>50</v>
      </c>
      <c r="D22">
        <f>STDEV(Table2[Midterm_1])</f>
        <v>3.3072508971549195</v>
      </c>
      <c r="E22" s="2">
        <f>STDEV(Table2[Midterm_1_pct])</f>
        <v>8.2681272428872993E-2</v>
      </c>
      <c r="F22" s="4">
        <f>STDEV(Table2[Midterm_2])</f>
        <v>23.146891687033111</v>
      </c>
      <c r="G22" s="2">
        <f>STDEV(Table2[Midterm_2_pct])</f>
        <v>0.23146891687033136</v>
      </c>
    </row>
    <row r="23" spans="1:7" x14ac:dyDescent="0.25">
      <c r="C23" t="s">
        <v>51</v>
      </c>
      <c r="D23">
        <f>MAX(Table2[Midterm_1])</f>
        <v>39</v>
      </c>
      <c r="E23" s="2">
        <f>MAX(Table2[Midterm_1_pct])</f>
        <v>0.97499999999999998</v>
      </c>
      <c r="F23" s="4">
        <f>MAX(Table2[Midterm_2])</f>
        <v>100</v>
      </c>
      <c r="G23" s="2">
        <f>MAX(Table2[Midterm_2_pct])</f>
        <v>1</v>
      </c>
    </row>
    <row r="24" spans="1:7" x14ac:dyDescent="0.25">
      <c r="C24" t="s">
        <v>52</v>
      </c>
      <c r="D24">
        <f>_xlfn.QUARTILE.INC(Table2[Midterm_1],3)</f>
        <v>39</v>
      </c>
      <c r="E24" s="2">
        <f>_xlfn.QUARTILE.INC(Table2[Midterm_1_pct],3)</f>
        <v>0.97499999999999998</v>
      </c>
      <c r="F24" s="4">
        <f>_xlfn.QUARTILE.INC(Table2[Midterm_2],3)</f>
        <v>99.375</v>
      </c>
      <c r="G24" s="2">
        <f>_xlfn.QUARTILE.INC(Table2[Midterm_2_pct],3)</f>
        <v>0.99375000000000002</v>
      </c>
    </row>
    <row r="25" spans="1:7" x14ac:dyDescent="0.25">
      <c r="C25" t="s">
        <v>53</v>
      </c>
      <c r="D25">
        <f>MEDIAN(Table2[Midterm_1])</f>
        <v>37.25</v>
      </c>
      <c r="E25" s="2">
        <f>MEDIAN(Table2[Midterm_1_pct])</f>
        <v>0.93125000000000002</v>
      </c>
      <c r="F25" s="4">
        <f>MEDIAN(Table2[Midterm_2])</f>
        <v>94.5</v>
      </c>
      <c r="G25" s="2">
        <f>MEDIAN(Table2[Midterm_2_pct])</f>
        <v>0.94499999999999995</v>
      </c>
    </row>
    <row r="26" spans="1:7" x14ac:dyDescent="0.25">
      <c r="C26" t="s">
        <v>54</v>
      </c>
      <c r="D26">
        <f>_xlfn.QUARTILE.INC(Table2[Midterm_1],1)</f>
        <v>35.25</v>
      </c>
      <c r="E26" s="2">
        <f>_xlfn.QUARTILE.INC(Table2[Midterm_1_pct],1)</f>
        <v>0.88124999999999998</v>
      </c>
      <c r="F26" s="4">
        <f>_xlfn.QUARTILE.INC(Table2[Midterm_2],1)</f>
        <v>86.75</v>
      </c>
      <c r="G26" s="2">
        <f>_xlfn.QUARTILE.INC(Table2[Midterm_2_pct],1)</f>
        <v>0.86749999999999994</v>
      </c>
    </row>
    <row r="27" spans="1:7" x14ac:dyDescent="0.25">
      <c r="C27" t="s">
        <v>55</v>
      </c>
      <c r="D27">
        <f>MIN(Table2[Midterm_1])</f>
        <v>26.5</v>
      </c>
      <c r="E27" s="2">
        <f>MIN(Table2[Midterm_1_pct])</f>
        <v>0.66249999999999998</v>
      </c>
      <c r="F27" s="4">
        <f>MIN(Table2[Midterm_2])</f>
        <v>0</v>
      </c>
      <c r="G27" s="2">
        <f>MIN(Table2[Midterm_2_pct])</f>
        <v>0</v>
      </c>
    </row>
    <row r="28" spans="1:7" x14ac:dyDescent="0.25">
      <c r="C28" t="s">
        <v>56</v>
      </c>
      <c r="D28">
        <f>COUNTIF(Table2[Midterm_1],"=NA")</f>
        <v>0</v>
      </c>
      <c r="E28">
        <f>COUNTIF(Table2[Midterm_1_pct],"=NA")</f>
        <v>0</v>
      </c>
      <c r="F28" s="4">
        <f>COUNTIF(Table2[Midterm_2],"=NA")</f>
        <v>0</v>
      </c>
      <c r="G28">
        <f>COUNTIF(Table2[Midterm_2_pct],"=NA")</f>
        <v>0</v>
      </c>
    </row>
  </sheetData>
  <phoneticPr fontId="2" type="noConversion"/>
  <conditionalFormatting sqref="D2:D19">
    <cfRule type="cellIs" dxfId="5" priority="1" operator="greaterThanOrEqual">
      <formula>37</formula>
    </cfRule>
    <cfRule type="cellIs" dxfId="4" priority="2" operator="between">
      <formula>34</formula>
      <formula>36.5</formula>
    </cfRule>
    <cfRule type="cellIs" dxfId="3" priority="3" operator="between">
      <formula>28</formula>
      <formula>33.5</formula>
    </cfRule>
    <cfRule type="cellIs" dxfId="2" priority="5" operator="lessThan">
      <formula>28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Nate</cp:lastModifiedBy>
  <dcterms:created xsi:type="dcterms:W3CDTF">2021-09-03T15:43:20Z</dcterms:created>
  <dcterms:modified xsi:type="dcterms:W3CDTF">2021-12-26T23:15:48Z</dcterms:modified>
</cp:coreProperties>
</file>