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H:\My Drive\Teaching\Classes\Math 243\Fall 2021\course-materials\Grades\"/>
    </mc:Choice>
  </mc:AlternateContent>
  <xr:revisionPtr revIDLastSave="0" documentId="13_ncr:1_{81F3374F-EAE0-42A0-B058-1E3D9605F45E}" xr6:coauthVersionLast="47" xr6:coauthVersionMax="47" xr10:uidLastSave="{00000000-0000-0000-0000-000000000000}"/>
  <bookViews>
    <workbookView xWindow="3180" yWindow="870" windowWidth="24780" windowHeight="15330" xr2:uid="{E2B26994-3EE5-964D-9F2F-EA1665179E5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" i="1" l="1"/>
  <c r="D18" i="1"/>
  <c r="D1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2" i="1"/>
</calcChain>
</file>

<file path=xl/sharedStrings.xml><?xml version="1.0" encoding="utf-8"?>
<sst xmlns="http://schemas.openxmlformats.org/spreadsheetml/2006/main" count="78" uniqueCount="77">
  <si>
    <t>reed_id</t>
  </si>
  <si>
    <t>last_name</t>
  </si>
  <si>
    <t>S74797</t>
  </si>
  <si>
    <t>Ahn</t>
  </si>
  <si>
    <t>Simon</t>
  </si>
  <si>
    <t>Beeman-Weber</t>
  </si>
  <si>
    <t>Calvin</t>
  </si>
  <si>
    <t>Blair</t>
  </si>
  <si>
    <t>Taylor</t>
  </si>
  <si>
    <t>Buggana</t>
  </si>
  <si>
    <t>Rohan</t>
  </si>
  <si>
    <t>Burton-Heckman</t>
  </si>
  <si>
    <t>Kenai</t>
  </si>
  <si>
    <t>S81138</t>
  </si>
  <si>
    <t>Caldwell</t>
  </si>
  <si>
    <t>Isabelle</t>
  </si>
  <si>
    <t>A42231</t>
  </si>
  <si>
    <t>DeVries</t>
  </si>
  <si>
    <t>Jon</t>
  </si>
  <si>
    <t>Hardwick</t>
  </si>
  <si>
    <t>Robin</t>
  </si>
  <si>
    <t>Khurana</t>
  </si>
  <si>
    <t>Bhavjot</t>
  </si>
  <si>
    <t>S74039</t>
  </si>
  <si>
    <t>Krishnamurthy</t>
  </si>
  <si>
    <t>Rishi</t>
  </si>
  <si>
    <t>S76304</t>
  </si>
  <si>
    <t>Krishnan</t>
  </si>
  <si>
    <t>Ananke</t>
  </si>
  <si>
    <t>S54930</t>
  </si>
  <si>
    <t>McGinnis</t>
  </si>
  <si>
    <t>Gillian</t>
  </si>
  <si>
    <t>Peterson</t>
  </si>
  <si>
    <t>Sky</t>
  </si>
  <si>
    <t>A56373</t>
  </si>
  <si>
    <t>Qin</t>
  </si>
  <si>
    <t>Tina</t>
  </si>
  <si>
    <t>S82159</t>
  </si>
  <si>
    <t>Shimer</t>
  </si>
  <si>
    <t>Jakob</t>
  </si>
  <si>
    <t>Thoron</t>
  </si>
  <si>
    <t>Emma</t>
  </si>
  <si>
    <t>VanLandschoot</t>
  </si>
  <si>
    <t>Maxwell</t>
  </si>
  <si>
    <t>Wilkerson</t>
  </si>
  <si>
    <t>Arai</t>
  </si>
  <si>
    <t>first_name</t>
  </si>
  <si>
    <t>1-Sep</t>
  </si>
  <si>
    <t>3-Sep</t>
  </si>
  <si>
    <t>8-Sep</t>
  </si>
  <si>
    <t>10-Sep</t>
  </si>
  <si>
    <t>13-Sep</t>
  </si>
  <si>
    <t>15-Sep</t>
  </si>
  <si>
    <t>20-Sep</t>
  </si>
  <si>
    <t>22-Sep</t>
  </si>
  <si>
    <t>27-Sep</t>
  </si>
  <si>
    <t>29-Sep</t>
  </si>
  <si>
    <t>4-Oct</t>
  </si>
  <si>
    <t>6-Oct</t>
  </si>
  <si>
    <t>8-Oct</t>
  </si>
  <si>
    <t>15-Oct</t>
  </si>
  <si>
    <t>Total</t>
  </si>
  <si>
    <t>25-Oct</t>
  </si>
  <si>
    <t>27-Oct</t>
  </si>
  <si>
    <t>1-Nov</t>
  </si>
  <si>
    <t>3-Nov</t>
  </si>
  <si>
    <t>5-Nov</t>
  </si>
  <si>
    <t>8-Nov</t>
  </si>
  <si>
    <t>12-Nov</t>
  </si>
  <si>
    <t>15-Nov</t>
  </si>
  <si>
    <t>10-Nov</t>
  </si>
  <si>
    <t>17-Nov</t>
  </si>
  <si>
    <t>19-Nov</t>
  </si>
  <si>
    <t>24-Nov</t>
  </si>
  <si>
    <t>3-Dec</t>
  </si>
  <si>
    <t>6-Dec</t>
  </si>
  <si>
    <t>8-Dec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</si>
</sst>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3"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95085B-43A2-614E-8C55-2D866D6F2BB9}" name="Table2" displayName="Table2" ref="A1:AG20" totalsRowShown="0">
  <autoFilter ref="A1:AG20" xr:uid="{F795085B-43A2-614E-8C55-2D866D6F2BB9}"/>
  <sortState xmlns:xlrd2="http://schemas.microsoft.com/office/spreadsheetml/2017/richdata2" ref="A2:R19">
    <sortCondition ref="C1:C19"/>
  </sortState>
  <tableColumns count="33">
    <tableColumn id="1" xr3:uid="{77F8F90F-5C8E-BC4C-B545-FA75B259CA8F}" name="reed_id"/>
    <tableColumn id="2" xr3:uid="{7146B570-825A-7D4C-890F-90E736404710}" name="last_name"/>
    <tableColumn id="3" xr3:uid="{D61C3733-DDE0-7A4F-8F95-3BE6FC83489B}" name="first_name"/>
    <tableColumn id="6" xr3:uid="{33DCE94D-B2FF-944F-8324-A05F2830EE55}" name="Total"/>
    <tableColumn id="4" xr3:uid="{C524DDEB-2F3A-3448-9786-159474E2DF2D}" name="1-Sep"/>
    <tableColumn id="5" xr3:uid="{A435395F-A4DA-0145-9160-A4A3311B3E8F}" name="3-Sep"/>
    <tableColumn id="7" xr3:uid="{21C90B51-C51E-7741-B6FE-1005783D12DE}" name="8-Sep"/>
    <tableColumn id="8" xr3:uid="{7C539A1E-3F4C-7045-B1EB-07944188AA66}" name="10-Sep"/>
    <tableColumn id="9" xr3:uid="{9D6CF025-397E-6A46-B1AD-953EBEE70E4C}" name="13-Sep"/>
    <tableColumn id="10" xr3:uid="{E5A2A72B-C7D7-B24A-8379-2720F69FE7ED}" name="15-Sep"/>
    <tableColumn id="11" xr3:uid="{ABD79534-5A14-414D-B5C4-FBD512EF0662}" name="20-Sep"/>
    <tableColumn id="12" xr3:uid="{9624906C-F40D-9249-96C8-6A8C35BE8C8C}" name="22-Sep"/>
    <tableColumn id="13" xr3:uid="{094B0FE9-E2A3-E340-9F10-A74B106F9240}" name="27-Sep"/>
    <tableColumn id="14" xr3:uid="{61F04656-8D3A-3D4B-9D3B-BC28BC9454DF}" name="29-Sep"/>
    <tableColumn id="15" xr3:uid="{821E68D5-C1D2-0843-A7E0-5725A80DC0AA}" name="4-Oct"/>
    <tableColumn id="16" xr3:uid="{837759CC-C66A-7545-9181-808AA9E515E8}" name="6-Oct"/>
    <tableColumn id="17" xr3:uid="{5CEBC01F-BB5C-DC4F-8556-2D49D17A1515}" name="8-Oct"/>
    <tableColumn id="18" xr3:uid="{5287C0EB-DD50-0042-95DC-6FEF77731CA1}" name="15-Oct"/>
    <tableColumn id="19" xr3:uid="{77E80317-2A5E-45FA-AA0D-80F8367D8A41}" name="25-Oct"/>
    <tableColumn id="20" xr3:uid="{3B3A1857-09D1-4954-B32C-FC6D205136B1}" name="27-Oct"/>
    <tableColumn id="21" xr3:uid="{81BEA44E-0713-4370-A795-4DCC6FCDFA7C}" name="1-Nov"/>
    <tableColumn id="22" xr3:uid="{3EC87AB0-3C96-4028-8B89-3D39C2E9AB8B}" name="3-Nov"/>
    <tableColumn id="23" xr3:uid="{02625990-ED12-4EE9-B01E-F98DA0506ACE}" name="5-Nov"/>
    <tableColumn id="24" xr3:uid="{5E8D9243-DE0A-4D5B-A2E5-696FE38F68EC}" name="8-Nov"/>
    <tableColumn id="25" xr3:uid="{57881E79-FEC7-466A-84D6-2F3B1C0EFFB9}" name="10-Nov"/>
    <tableColumn id="26" xr3:uid="{B3E8B6E6-04F0-42BE-A85D-580FEB938D66}" name="12-Nov"/>
    <tableColumn id="27" xr3:uid="{EDBB647C-43A8-4B7B-B9ED-89BD6FBCE6A2}" name="15-Nov"/>
    <tableColumn id="28" xr3:uid="{53396464-4372-454B-9B3C-7594655190BB}" name="17-Nov"/>
    <tableColumn id="29" xr3:uid="{0D114B45-023D-46CD-960B-75912579F5D5}" name="19-Nov"/>
    <tableColumn id="30" xr3:uid="{F852A1AD-109E-42F4-A6F7-597556C727A0}" name="24-Nov"/>
    <tableColumn id="31" xr3:uid="{B13F40A9-CCA7-48B0-864F-8BDB010203AA}" name="3-Dec"/>
    <tableColumn id="32" xr3:uid="{5C6EEA29-113A-4D20-97A7-58121BA8166D}" name="6-Dec"/>
    <tableColumn id="33" xr3:uid="{0197C560-F2E6-41BA-A814-B4112654017D}" name="8-Dec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309FD-2083-5844-BEDB-30F87C39EC3C}">
  <dimension ref="A1:AG20"/>
  <sheetViews>
    <sheetView tabSelected="1" zoomScale="140" zoomScaleNormal="140" workbookViewId="0">
      <selection activeCell="E10" sqref="E10"/>
    </sheetView>
  </sheetViews>
  <sheetFormatPr defaultColWidth="11" defaultRowHeight="15.75" x14ac:dyDescent="0.25"/>
  <cols>
    <col min="2" max="2" width="14.5" customWidth="1"/>
    <col min="3" max="4" width="12.375" customWidth="1"/>
    <col min="15" max="18" width="11.625" customWidth="1"/>
  </cols>
  <sheetData>
    <row r="1" spans="1:33" x14ac:dyDescent="0.25">
      <c r="A1" t="s">
        <v>0</v>
      </c>
      <c r="B1" t="s">
        <v>1</v>
      </c>
      <c r="C1" t="s">
        <v>46</v>
      </c>
      <c r="D1" t="s">
        <v>61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54</v>
      </c>
      <c r="M1" s="1" t="s">
        <v>55</v>
      </c>
      <c r="N1" s="1" t="s">
        <v>56</v>
      </c>
      <c r="O1" s="1" t="s">
        <v>57</v>
      </c>
      <c r="P1" s="1" t="s">
        <v>58</v>
      </c>
      <c r="Q1" s="1" t="s">
        <v>59</v>
      </c>
      <c r="R1" s="1" t="s">
        <v>60</v>
      </c>
      <c r="S1" s="1" t="s">
        <v>62</v>
      </c>
      <c r="T1" s="1" t="s">
        <v>63</v>
      </c>
      <c r="U1" s="1" t="s">
        <v>64</v>
      </c>
      <c r="V1" s="1" t="s">
        <v>65</v>
      </c>
      <c r="W1" s="1" t="s">
        <v>66</v>
      </c>
      <c r="X1" s="1" t="s">
        <v>67</v>
      </c>
      <c r="Y1" s="1" t="s">
        <v>70</v>
      </c>
      <c r="Z1" s="1" t="s">
        <v>68</v>
      </c>
      <c r="AA1" s="1" t="s">
        <v>69</v>
      </c>
      <c r="AB1" s="1" t="s">
        <v>71</v>
      </c>
      <c r="AC1" s="1" t="s">
        <v>72</v>
      </c>
      <c r="AD1" s="1" t="s">
        <v>73</v>
      </c>
      <c r="AE1" s="1" t="s">
        <v>74</v>
      </c>
      <c r="AF1" s="1" t="s">
        <v>75</v>
      </c>
      <c r="AG1" s="1" t="s">
        <v>76</v>
      </c>
    </row>
    <row r="2" spans="1:33" x14ac:dyDescent="0.25">
      <c r="A2" t="s">
        <v>26</v>
      </c>
      <c r="B2" t="s">
        <v>27</v>
      </c>
      <c r="C2" t="s">
        <v>28</v>
      </c>
      <c r="D2">
        <f>SUM(Table2[[#This Row],[1-Sep]:[8-Dec]])</f>
        <v>21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W2">
        <v>1</v>
      </c>
      <c r="X2">
        <v>1</v>
      </c>
      <c r="Y2">
        <v>1</v>
      </c>
      <c r="AA2">
        <v>1</v>
      </c>
      <c r="AC2">
        <v>1</v>
      </c>
    </row>
    <row r="3" spans="1:33" x14ac:dyDescent="0.25">
      <c r="A3">
        <v>20014500</v>
      </c>
      <c r="B3" t="s">
        <v>44</v>
      </c>
      <c r="C3" t="s">
        <v>45</v>
      </c>
      <c r="D3">
        <f>SUM(Table2[[#This Row],[1-Sep]:[8-Dec]])</f>
        <v>11</v>
      </c>
      <c r="E3">
        <v>1</v>
      </c>
      <c r="G3">
        <v>1</v>
      </c>
      <c r="I3">
        <v>1</v>
      </c>
      <c r="J3">
        <v>1</v>
      </c>
      <c r="K3">
        <v>1</v>
      </c>
      <c r="L3">
        <v>1</v>
      </c>
      <c r="M3">
        <v>1</v>
      </c>
      <c r="O3">
        <v>1</v>
      </c>
      <c r="R3">
        <v>1</v>
      </c>
      <c r="S3">
        <v>1</v>
      </c>
      <c r="W3">
        <v>1</v>
      </c>
    </row>
    <row r="4" spans="1:33" x14ac:dyDescent="0.25">
      <c r="A4">
        <v>20007907</v>
      </c>
      <c r="B4" t="s">
        <v>21</v>
      </c>
      <c r="C4" t="s">
        <v>22</v>
      </c>
      <c r="D4">
        <f>SUM(Table2[[#This Row],[1-Sep]:[8-Dec]])</f>
        <v>14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S4">
        <v>1</v>
      </c>
      <c r="X4">
        <v>1</v>
      </c>
      <c r="Y4">
        <v>1</v>
      </c>
      <c r="AA4">
        <v>1</v>
      </c>
      <c r="AB4">
        <v>1</v>
      </c>
      <c r="AC4">
        <v>1</v>
      </c>
      <c r="AF4">
        <v>1</v>
      </c>
    </row>
    <row r="5" spans="1:33" x14ac:dyDescent="0.25">
      <c r="A5">
        <v>20009766</v>
      </c>
      <c r="B5" t="s">
        <v>5</v>
      </c>
      <c r="C5" t="s">
        <v>6</v>
      </c>
      <c r="D5">
        <f>SUM(Table2[[#This Row],[1-Sep]:[8-Dec]])</f>
        <v>5</v>
      </c>
      <c r="E5">
        <v>1</v>
      </c>
      <c r="G5">
        <v>1</v>
      </c>
      <c r="I5">
        <v>1</v>
      </c>
      <c r="M5">
        <v>1</v>
      </c>
      <c r="O5">
        <v>1</v>
      </c>
    </row>
    <row r="6" spans="1:33" x14ac:dyDescent="0.25">
      <c r="A6">
        <v>20005442</v>
      </c>
      <c r="B6" t="s">
        <v>40</v>
      </c>
      <c r="C6" t="s">
        <v>41</v>
      </c>
      <c r="D6">
        <f>SUM(Table2[[#This Row],[1-Sep]:[8-Dec]])</f>
        <v>26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G6">
        <v>1</v>
      </c>
    </row>
    <row r="7" spans="1:33" x14ac:dyDescent="0.25">
      <c r="A7" t="s">
        <v>29</v>
      </c>
      <c r="B7" t="s">
        <v>30</v>
      </c>
      <c r="C7" t="s">
        <v>31</v>
      </c>
      <c r="D7">
        <f>SUM(Table2[[#This Row],[1-Sep]:[8-Dec]])</f>
        <v>29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</row>
    <row r="8" spans="1:33" x14ac:dyDescent="0.25">
      <c r="A8" t="s">
        <v>13</v>
      </c>
      <c r="B8" t="s">
        <v>14</v>
      </c>
      <c r="C8" t="s">
        <v>15</v>
      </c>
      <c r="D8">
        <f>SUM(Table2[[#This Row],[1-Sep]:[8-Dec]])</f>
        <v>25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E8">
        <v>1</v>
      </c>
      <c r="AG8">
        <v>1</v>
      </c>
    </row>
    <row r="9" spans="1:33" x14ac:dyDescent="0.25">
      <c r="A9" t="s">
        <v>37</v>
      </c>
      <c r="B9" t="s">
        <v>38</v>
      </c>
      <c r="C9" t="s">
        <v>39</v>
      </c>
      <c r="D9">
        <f>SUM(Table2[[#This Row],[1-Sep]:[8-Dec]])</f>
        <v>11</v>
      </c>
      <c r="E9">
        <v>1</v>
      </c>
      <c r="H9">
        <v>1</v>
      </c>
      <c r="P9">
        <v>1</v>
      </c>
      <c r="R9">
        <v>1</v>
      </c>
      <c r="T9">
        <v>1</v>
      </c>
      <c r="U9">
        <v>1</v>
      </c>
      <c r="W9">
        <v>1</v>
      </c>
      <c r="AD9">
        <v>1</v>
      </c>
      <c r="AE9">
        <v>1</v>
      </c>
      <c r="AF9">
        <v>1</v>
      </c>
      <c r="AG9">
        <v>1</v>
      </c>
    </row>
    <row r="10" spans="1:33" x14ac:dyDescent="0.25">
      <c r="A10" t="s">
        <v>16</v>
      </c>
      <c r="B10" t="s">
        <v>17</v>
      </c>
      <c r="C10" t="s">
        <v>18</v>
      </c>
      <c r="D10">
        <f>SUM(Table2[[#This Row],[1-Sep]:[8-Dec]])</f>
        <v>23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R10">
        <v>1</v>
      </c>
      <c r="S10">
        <v>1</v>
      </c>
      <c r="T10">
        <v>1</v>
      </c>
      <c r="W10">
        <v>1</v>
      </c>
      <c r="X10">
        <v>1</v>
      </c>
      <c r="Y10">
        <v>1</v>
      </c>
      <c r="Z10">
        <v>1</v>
      </c>
      <c r="AA10">
        <v>1</v>
      </c>
      <c r="AC10">
        <v>1</v>
      </c>
      <c r="AE10">
        <v>1</v>
      </c>
      <c r="AF10">
        <v>1</v>
      </c>
    </row>
    <row r="11" spans="1:33" x14ac:dyDescent="0.25">
      <c r="A11">
        <v>20016821</v>
      </c>
      <c r="B11" t="s">
        <v>11</v>
      </c>
      <c r="C11" t="s">
        <v>12</v>
      </c>
      <c r="D11">
        <f>SUM(Table2[[#This Row],[1-Sep]:[8-Dec]])</f>
        <v>29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</row>
    <row r="12" spans="1:33" x14ac:dyDescent="0.25">
      <c r="A12">
        <v>20008352</v>
      </c>
      <c r="B12" t="s">
        <v>42</v>
      </c>
      <c r="C12" t="s">
        <v>43</v>
      </c>
      <c r="D12">
        <f>SUM(Table2[[#This Row],[1-Sep]:[8-Dec]])</f>
        <v>29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</row>
    <row r="13" spans="1:33" x14ac:dyDescent="0.25">
      <c r="A13" t="s">
        <v>23</v>
      </c>
      <c r="B13" t="s">
        <v>24</v>
      </c>
      <c r="C13" t="s">
        <v>25</v>
      </c>
      <c r="D13">
        <f>SUM(Table2[[#This Row],[1-Sep]:[8-Dec]])</f>
        <v>27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Z13">
        <v>1</v>
      </c>
      <c r="AA13">
        <v>1</v>
      </c>
      <c r="AB13">
        <v>1</v>
      </c>
      <c r="AD13">
        <v>1</v>
      </c>
      <c r="AE13">
        <v>1</v>
      </c>
      <c r="AF13">
        <v>1</v>
      </c>
      <c r="AG13">
        <v>1</v>
      </c>
    </row>
    <row r="14" spans="1:33" x14ac:dyDescent="0.25">
      <c r="A14">
        <v>20010417</v>
      </c>
      <c r="B14" t="s">
        <v>19</v>
      </c>
      <c r="C14" t="s">
        <v>20</v>
      </c>
      <c r="D14">
        <f>SUM(Table2[[#This Row],[1-Sep]:[8-Dec]])</f>
        <v>29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1</v>
      </c>
    </row>
    <row r="15" spans="1:33" x14ac:dyDescent="0.25">
      <c r="A15">
        <v>20016819</v>
      </c>
      <c r="B15" t="s">
        <v>9</v>
      </c>
      <c r="C15" t="s">
        <v>10</v>
      </c>
      <c r="D15">
        <f>SUM(Table2[[#This Row],[1-Sep]:[8-Dec]])</f>
        <v>26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D15">
        <v>1</v>
      </c>
      <c r="AE15">
        <v>1</v>
      </c>
      <c r="AF15">
        <v>1</v>
      </c>
      <c r="AG15">
        <v>1</v>
      </c>
    </row>
    <row r="16" spans="1:33" x14ac:dyDescent="0.25">
      <c r="A16" t="s">
        <v>2</v>
      </c>
      <c r="B16" t="s">
        <v>3</v>
      </c>
      <c r="C16" t="s">
        <v>4</v>
      </c>
      <c r="D16">
        <f>SUM(Table2[[#This Row],[1-Sep]:[8-Dec]])</f>
        <v>29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</row>
    <row r="17" spans="1:33" x14ac:dyDescent="0.25">
      <c r="A17">
        <v>20010981</v>
      </c>
      <c r="B17" t="s">
        <v>32</v>
      </c>
      <c r="C17" t="s">
        <v>33</v>
      </c>
      <c r="D17">
        <f>SUM(Table2[[#This Row],[1-Sep]:[8-Dec]])</f>
        <v>8</v>
      </c>
      <c r="E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T17">
        <v>1</v>
      </c>
    </row>
    <row r="18" spans="1:33" x14ac:dyDescent="0.25">
      <c r="A18">
        <v>20013614</v>
      </c>
      <c r="B18" t="s">
        <v>7</v>
      </c>
      <c r="C18" t="s">
        <v>8</v>
      </c>
      <c r="D18">
        <f>SUM(Table2[[#This Row],[1-Sep]:[8-Dec]])</f>
        <v>28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</row>
    <row r="19" spans="1:33" x14ac:dyDescent="0.25">
      <c r="A19" t="s">
        <v>34</v>
      </c>
      <c r="B19" t="s">
        <v>35</v>
      </c>
      <c r="C19" t="s">
        <v>36</v>
      </c>
      <c r="D19">
        <f>SUM(Table2[[#This Row],[1-Sep]:[8-Dec]])</f>
        <v>13</v>
      </c>
      <c r="E19">
        <v>1</v>
      </c>
      <c r="G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S19">
        <v>1</v>
      </c>
      <c r="W19">
        <v>1</v>
      </c>
      <c r="Y19">
        <v>1</v>
      </c>
    </row>
    <row r="20" spans="1:33" x14ac:dyDescent="0.25">
      <c r="C20" t="s">
        <v>61</v>
      </c>
      <c r="D20">
        <f>SUM(Table2[[#This Row],[1-Sep]:[8-Dec]])</f>
        <v>29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</row>
  </sheetData>
  <conditionalFormatting sqref="D2:D19">
    <cfRule type="cellIs" dxfId="0" priority="2" operator="lessThan">
      <formula>22</formula>
    </cfRule>
    <cfRule type="cellIs" dxfId="1" priority="1" operator="lessThan">
      <formula>15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Nate</cp:lastModifiedBy>
  <dcterms:created xsi:type="dcterms:W3CDTF">2021-09-03T15:43:20Z</dcterms:created>
  <dcterms:modified xsi:type="dcterms:W3CDTF">2021-12-26T23:15:37Z</dcterms:modified>
</cp:coreProperties>
</file>